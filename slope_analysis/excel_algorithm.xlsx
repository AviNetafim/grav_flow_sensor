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afim-my.sharepoint.com/personal/avi_schweitzer_netafim_com/Documents/MyProjects/gravimetric_flow_sensor/grav_flow_sensor/slope_analysis/"/>
    </mc:Choice>
  </mc:AlternateContent>
  <xr:revisionPtr revIDLastSave="68" documentId="8_{BAF58770-6495-4278-924C-B5EA990002C2}" xr6:coauthVersionLast="47" xr6:coauthVersionMax="47" xr10:uidLastSave="{4D216E34-635C-40DB-A852-50C0131484FF}"/>
  <bookViews>
    <workbookView xWindow="-28905" yWindow="0" windowWidth="14610" windowHeight="15585" xr2:uid="{17676617-7F34-427D-89E7-77851C69EA5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60" i="1" l="1"/>
  <c r="R53" i="1"/>
  <c r="S48" i="1"/>
  <c r="T48" i="1" s="1"/>
  <c r="U49" i="1" s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92" i="1"/>
  <c r="S50" i="1"/>
  <c r="S51" i="1"/>
  <c r="S52" i="1"/>
  <c r="S53" i="1"/>
  <c r="T53" i="1" s="1"/>
  <c r="S54" i="1"/>
  <c r="S55" i="1"/>
  <c r="S56" i="1"/>
  <c r="S57" i="1"/>
  <c r="S58" i="1"/>
  <c r="S59" i="1"/>
  <c r="S60" i="1"/>
  <c r="S61" i="1"/>
  <c r="T61" i="1" s="1"/>
  <c r="S62" i="1"/>
  <c r="S63" i="1"/>
  <c r="S64" i="1"/>
  <c r="S65" i="1"/>
  <c r="T65" i="1" s="1"/>
  <c r="S66" i="1"/>
  <c r="S67" i="1"/>
  <c r="S68" i="1"/>
  <c r="S69" i="1"/>
  <c r="S70" i="1"/>
  <c r="S71" i="1"/>
  <c r="S72" i="1"/>
  <c r="S73" i="1"/>
  <c r="T73" i="1" s="1"/>
  <c r="S74" i="1"/>
  <c r="S75" i="1"/>
  <c r="S76" i="1"/>
  <c r="S77" i="1"/>
  <c r="T77" i="1" s="1"/>
  <c r="S78" i="1"/>
  <c r="S79" i="1"/>
  <c r="S80" i="1"/>
  <c r="S81" i="1"/>
  <c r="S82" i="1"/>
  <c r="S83" i="1"/>
  <c r="S84" i="1"/>
  <c r="S85" i="1"/>
  <c r="T85" i="1" s="1"/>
  <c r="S86" i="1"/>
  <c r="S87" i="1"/>
  <c r="S88" i="1"/>
  <c r="S89" i="1"/>
  <c r="T89" i="1" s="1"/>
  <c r="S90" i="1"/>
  <c r="S91" i="1"/>
  <c r="S92" i="1"/>
  <c r="S93" i="1"/>
  <c r="S94" i="1"/>
  <c r="S95" i="1"/>
  <c r="S96" i="1"/>
  <c r="S97" i="1"/>
  <c r="T97" i="1" s="1"/>
  <c r="S98" i="1"/>
  <c r="S99" i="1"/>
  <c r="S100" i="1"/>
  <c r="S101" i="1"/>
  <c r="T101" i="1" s="1"/>
  <c r="S102" i="1"/>
  <c r="S103" i="1"/>
  <c r="S104" i="1"/>
  <c r="S105" i="1"/>
  <c r="S106" i="1"/>
  <c r="S107" i="1"/>
  <c r="S108" i="1"/>
  <c r="S109" i="1"/>
  <c r="T109" i="1" s="1"/>
  <c r="S110" i="1"/>
  <c r="S111" i="1"/>
  <c r="S112" i="1"/>
  <c r="S113" i="1"/>
  <c r="T113" i="1" s="1"/>
  <c r="S114" i="1"/>
  <c r="S115" i="1"/>
  <c r="S116" i="1"/>
  <c r="S117" i="1"/>
  <c r="S118" i="1"/>
  <c r="S119" i="1"/>
  <c r="S120" i="1"/>
  <c r="S121" i="1"/>
  <c r="T121" i="1" s="1"/>
  <c r="S122" i="1"/>
  <c r="S123" i="1"/>
  <c r="S124" i="1"/>
  <c r="S125" i="1"/>
  <c r="T125" i="1" s="1"/>
  <c r="S126" i="1"/>
  <c r="S127" i="1"/>
  <c r="S128" i="1"/>
  <c r="S129" i="1"/>
  <c r="S130" i="1"/>
  <c r="S131" i="1"/>
  <c r="S132" i="1"/>
  <c r="S133" i="1"/>
  <c r="T133" i="1" s="1"/>
  <c r="S134" i="1"/>
  <c r="S135" i="1"/>
  <c r="S136" i="1"/>
  <c r="S137" i="1"/>
  <c r="T137" i="1" s="1"/>
  <c r="S138" i="1"/>
  <c r="S139" i="1"/>
  <c r="S140" i="1"/>
  <c r="S141" i="1"/>
  <c r="S142" i="1"/>
  <c r="S143" i="1"/>
  <c r="S144" i="1"/>
  <c r="S145" i="1"/>
  <c r="T145" i="1" s="1"/>
  <c r="S146" i="1"/>
  <c r="S147" i="1"/>
  <c r="S148" i="1"/>
  <c r="S149" i="1"/>
  <c r="T149" i="1" s="1"/>
  <c r="S150" i="1"/>
  <c r="S151" i="1"/>
  <c r="S152" i="1"/>
  <c r="S153" i="1"/>
  <c r="S154" i="1"/>
  <c r="S155" i="1"/>
  <c r="S156" i="1"/>
  <c r="S157" i="1"/>
  <c r="T157" i="1" s="1"/>
  <c r="S158" i="1"/>
  <c r="S159" i="1"/>
  <c r="S160" i="1"/>
  <c r="S49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50" i="1"/>
  <c r="T51" i="1"/>
  <c r="T52" i="1"/>
  <c r="T54" i="1"/>
  <c r="T55" i="1"/>
  <c r="T56" i="1"/>
  <c r="T57" i="1"/>
  <c r="T58" i="1"/>
  <c r="T59" i="1"/>
  <c r="U84" i="1" s="1"/>
  <c r="T60" i="1"/>
  <c r="T62" i="1"/>
  <c r="T63" i="1"/>
  <c r="T64" i="1"/>
  <c r="T66" i="1"/>
  <c r="T67" i="1"/>
  <c r="T68" i="1"/>
  <c r="T69" i="1"/>
  <c r="T70" i="1"/>
  <c r="T71" i="1"/>
  <c r="T72" i="1"/>
  <c r="T74" i="1"/>
  <c r="T75" i="1"/>
  <c r="T76" i="1"/>
  <c r="T78" i="1"/>
  <c r="T79" i="1"/>
  <c r="T80" i="1"/>
  <c r="T81" i="1"/>
  <c r="T82" i="1"/>
  <c r="T83" i="1"/>
  <c r="T84" i="1"/>
  <c r="T86" i="1"/>
  <c r="T87" i="1"/>
  <c r="T88" i="1"/>
  <c r="T90" i="1"/>
  <c r="T91" i="1"/>
  <c r="T92" i="1"/>
  <c r="T93" i="1"/>
  <c r="T94" i="1"/>
  <c r="T95" i="1"/>
  <c r="T96" i="1"/>
  <c r="T98" i="1"/>
  <c r="T99" i="1"/>
  <c r="T100" i="1"/>
  <c r="T102" i="1"/>
  <c r="T103" i="1"/>
  <c r="T104" i="1"/>
  <c r="T105" i="1"/>
  <c r="T106" i="1"/>
  <c r="T107" i="1"/>
  <c r="T108" i="1"/>
  <c r="T110" i="1"/>
  <c r="T111" i="1"/>
  <c r="T112" i="1"/>
  <c r="T114" i="1"/>
  <c r="T115" i="1"/>
  <c r="T116" i="1"/>
  <c r="T117" i="1"/>
  <c r="T118" i="1"/>
  <c r="T119" i="1"/>
  <c r="T120" i="1"/>
  <c r="T122" i="1"/>
  <c r="T123" i="1"/>
  <c r="T124" i="1"/>
  <c r="T126" i="1"/>
  <c r="T127" i="1"/>
  <c r="T128" i="1"/>
  <c r="T129" i="1"/>
  <c r="T130" i="1"/>
  <c r="T131" i="1"/>
  <c r="T132" i="1"/>
  <c r="T134" i="1"/>
  <c r="T135" i="1"/>
  <c r="T136" i="1"/>
  <c r="T138" i="1"/>
  <c r="T139" i="1"/>
  <c r="T140" i="1"/>
  <c r="T141" i="1"/>
  <c r="T142" i="1"/>
  <c r="T143" i="1"/>
  <c r="T144" i="1"/>
  <c r="T146" i="1"/>
  <c r="T147" i="1"/>
  <c r="T148" i="1"/>
  <c r="T150" i="1"/>
  <c r="T151" i="1"/>
  <c r="T152" i="1"/>
  <c r="T153" i="1"/>
  <c r="T154" i="1"/>
  <c r="T155" i="1"/>
  <c r="T156" i="1"/>
  <c r="T158" i="1"/>
  <c r="T159" i="1"/>
  <c r="T160" i="1"/>
  <c r="D52" i="1"/>
  <c r="D56" i="1"/>
  <c r="D57" i="1"/>
  <c r="D58" i="1"/>
  <c r="D62" i="1"/>
  <c r="D68" i="1"/>
  <c r="D69" i="1"/>
  <c r="D70" i="1"/>
  <c r="D74" i="1"/>
  <c r="D80" i="1"/>
  <c r="D81" i="1"/>
  <c r="D82" i="1"/>
  <c r="D86" i="1"/>
  <c r="D92" i="1"/>
  <c r="D93" i="1"/>
  <c r="D94" i="1"/>
  <c r="D98" i="1"/>
  <c r="D104" i="1"/>
  <c r="D105" i="1"/>
  <c r="D106" i="1"/>
  <c r="D110" i="1"/>
  <c r="D116" i="1"/>
  <c r="D117" i="1"/>
  <c r="D118" i="1"/>
  <c r="D122" i="1"/>
  <c r="D128" i="1"/>
  <c r="D129" i="1"/>
  <c r="D130" i="1"/>
  <c r="D140" i="1"/>
  <c r="D141" i="1"/>
  <c r="D142" i="1"/>
  <c r="D152" i="1"/>
  <c r="D153" i="1"/>
  <c r="D154" i="1"/>
  <c r="D51" i="1"/>
  <c r="E51" i="1"/>
  <c r="G51" i="1"/>
  <c r="O51" i="1" s="1"/>
  <c r="I51" i="1"/>
  <c r="J51" i="1"/>
  <c r="N51" i="1"/>
  <c r="P51" i="1" s="1"/>
  <c r="E52" i="1"/>
  <c r="G52" i="1"/>
  <c r="I52" i="1"/>
  <c r="I53" i="1" s="1"/>
  <c r="J52" i="1"/>
  <c r="D53" i="1"/>
  <c r="E53" i="1"/>
  <c r="G53" i="1"/>
  <c r="D54" i="1"/>
  <c r="E54" i="1"/>
  <c r="D55" i="1"/>
  <c r="E55" i="1"/>
  <c r="E56" i="1"/>
  <c r="E57" i="1"/>
  <c r="E58" i="1"/>
  <c r="D59" i="1"/>
  <c r="E59" i="1"/>
  <c r="D60" i="1"/>
  <c r="E60" i="1"/>
  <c r="D61" i="1"/>
  <c r="E61" i="1"/>
  <c r="E62" i="1"/>
  <c r="D63" i="1"/>
  <c r="E63" i="1"/>
  <c r="D64" i="1"/>
  <c r="E64" i="1"/>
  <c r="D65" i="1"/>
  <c r="E65" i="1"/>
  <c r="D66" i="1"/>
  <c r="E66" i="1"/>
  <c r="D67" i="1"/>
  <c r="E67" i="1"/>
  <c r="E68" i="1"/>
  <c r="E69" i="1"/>
  <c r="E70" i="1"/>
  <c r="D71" i="1"/>
  <c r="E71" i="1"/>
  <c r="D72" i="1"/>
  <c r="E72" i="1"/>
  <c r="D73" i="1"/>
  <c r="E73" i="1"/>
  <c r="E74" i="1"/>
  <c r="D75" i="1"/>
  <c r="E75" i="1"/>
  <c r="D76" i="1"/>
  <c r="E76" i="1"/>
  <c r="D77" i="1"/>
  <c r="E77" i="1"/>
  <c r="D78" i="1"/>
  <c r="E78" i="1"/>
  <c r="D79" i="1"/>
  <c r="E79" i="1"/>
  <c r="E80" i="1"/>
  <c r="E81" i="1"/>
  <c r="E82" i="1"/>
  <c r="D83" i="1"/>
  <c r="E83" i="1"/>
  <c r="D84" i="1"/>
  <c r="E84" i="1"/>
  <c r="D85" i="1"/>
  <c r="E85" i="1"/>
  <c r="E86" i="1"/>
  <c r="D87" i="1"/>
  <c r="E87" i="1"/>
  <c r="D88" i="1"/>
  <c r="E88" i="1"/>
  <c r="D89" i="1"/>
  <c r="E89" i="1"/>
  <c r="D90" i="1"/>
  <c r="E90" i="1"/>
  <c r="D91" i="1"/>
  <c r="E91" i="1"/>
  <c r="E92" i="1"/>
  <c r="E93" i="1"/>
  <c r="E94" i="1"/>
  <c r="D95" i="1"/>
  <c r="E95" i="1"/>
  <c r="D96" i="1"/>
  <c r="E96" i="1"/>
  <c r="D97" i="1"/>
  <c r="E97" i="1"/>
  <c r="E98" i="1"/>
  <c r="D99" i="1"/>
  <c r="E99" i="1"/>
  <c r="D100" i="1"/>
  <c r="E100" i="1"/>
  <c r="D101" i="1"/>
  <c r="E101" i="1"/>
  <c r="D102" i="1"/>
  <c r="E102" i="1"/>
  <c r="D103" i="1"/>
  <c r="E103" i="1"/>
  <c r="E104" i="1"/>
  <c r="E105" i="1"/>
  <c r="E106" i="1"/>
  <c r="D107" i="1"/>
  <c r="E107" i="1"/>
  <c r="D108" i="1"/>
  <c r="E108" i="1"/>
  <c r="D109" i="1"/>
  <c r="E109" i="1"/>
  <c r="E110" i="1"/>
  <c r="D111" i="1"/>
  <c r="E111" i="1"/>
  <c r="D112" i="1"/>
  <c r="E112" i="1"/>
  <c r="D113" i="1"/>
  <c r="E113" i="1"/>
  <c r="D114" i="1"/>
  <c r="E114" i="1"/>
  <c r="D115" i="1"/>
  <c r="E115" i="1"/>
  <c r="E116" i="1"/>
  <c r="E117" i="1"/>
  <c r="E118" i="1"/>
  <c r="D119" i="1"/>
  <c r="E119" i="1"/>
  <c r="D120" i="1"/>
  <c r="E120" i="1"/>
  <c r="D121" i="1"/>
  <c r="E121" i="1"/>
  <c r="E122" i="1"/>
  <c r="D123" i="1"/>
  <c r="E123" i="1"/>
  <c r="D124" i="1"/>
  <c r="E124" i="1"/>
  <c r="D125" i="1"/>
  <c r="E125" i="1"/>
  <c r="D126" i="1"/>
  <c r="E126" i="1"/>
  <c r="D127" i="1"/>
  <c r="E127" i="1"/>
  <c r="E128" i="1"/>
  <c r="E129" i="1"/>
  <c r="E130" i="1"/>
  <c r="D131" i="1"/>
  <c r="E131" i="1"/>
  <c r="D132" i="1"/>
  <c r="E132" i="1"/>
  <c r="D133" i="1"/>
  <c r="E133" i="1"/>
  <c r="D134" i="1"/>
  <c r="E134" i="1"/>
  <c r="D135" i="1"/>
  <c r="E135" i="1"/>
  <c r="D136" i="1"/>
  <c r="E136" i="1"/>
  <c r="D137" i="1"/>
  <c r="E137" i="1"/>
  <c r="D138" i="1"/>
  <c r="E138" i="1"/>
  <c r="D139" i="1"/>
  <c r="E139" i="1"/>
  <c r="E140" i="1"/>
  <c r="E141" i="1"/>
  <c r="E142" i="1"/>
  <c r="D143" i="1"/>
  <c r="E143" i="1"/>
  <c r="D144" i="1"/>
  <c r="E144" i="1"/>
  <c r="D145" i="1"/>
  <c r="E145" i="1"/>
  <c r="D146" i="1"/>
  <c r="E146" i="1"/>
  <c r="D147" i="1"/>
  <c r="E147" i="1"/>
  <c r="D148" i="1"/>
  <c r="E148" i="1"/>
  <c r="D149" i="1"/>
  <c r="E149" i="1"/>
  <c r="D150" i="1"/>
  <c r="E150" i="1"/>
  <c r="D151" i="1"/>
  <c r="E151" i="1"/>
  <c r="E152" i="1"/>
  <c r="E153" i="1"/>
  <c r="E154" i="1"/>
  <c r="D155" i="1"/>
  <c r="E155" i="1"/>
  <c r="D156" i="1"/>
  <c r="E156" i="1"/>
  <c r="D157" i="1"/>
  <c r="E157" i="1"/>
  <c r="D158" i="1"/>
  <c r="E158" i="1"/>
  <c r="D159" i="1"/>
  <c r="E159" i="1"/>
  <c r="D160" i="1"/>
  <c r="E160" i="1"/>
  <c r="E50" i="1"/>
  <c r="D50" i="1"/>
  <c r="E49" i="1"/>
  <c r="D49" i="1"/>
  <c r="E48" i="1"/>
  <c r="D48" i="1"/>
  <c r="O47" i="1"/>
  <c r="G47" i="1"/>
  <c r="G48" i="1" s="1"/>
  <c r="E47" i="1"/>
  <c r="I47" i="1" s="1"/>
  <c r="D47" i="1"/>
  <c r="F47" i="1" s="1"/>
  <c r="H47" i="1"/>
  <c r="H48" i="1" s="1"/>
  <c r="H49" i="1" s="1"/>
  <c r="H50" i="1" s="1"/>
  <c r="H51" i="1" s="1"/>
  <c r="T49" i="1" l="1"/>
  <c r="U48" i="1"/>
  <c r="U79" i="1"/>
  <c r="U80" i="1"/>
  <c r="U91" i="1"/>
  <c r="U75" i="1"/>
  <c r="U86" i="1"/>
  <c r="U76" i="1"/>
  <c r="U88" i="1"/>
  <c r="U87" i="1"/>
  <c r="U78" i="1"/>
  <c r="U71" i="1"/>
  <c r="U90" i="1"/>
  <c r="U83" i="1"/>
  <c r="U81" i="1"/>
  <c r="U89" i="1"/>
  <c r="U77" i="1"/>
  <c r="U82" i="1"/>
  <c r="U85" i="1"/>
  <c r="U60" i="1"/>
  <c r="U69" i="1"/>
  <c r="U68" i="1"/>
  <c r="U67" i="1"/>
  <c r="U59" i="1"/>
  <c r="U70" i="1"/>
  <c r="U58" i="1"/>
  <c r="U57" i="1"/>
  <c r="U56" i="1"/>
  <c r="U55" i="1"/>
  <c r="U66" i="1"/>
  <c r="U54" i="1"/>
  <c r="U65" i="1"/>
  <c r="U53" i="1"/>
  <c r="U64" i="1"/>
  <c r="U52" i="1"/>
  <c r="U63" i="1"/>
  <c r="U74" i="1"/>
  <c r="U62" i="1"/>
  <c r="U50" i="1"/>
  <c r="U73" i="1"/>
  <c r="U61" i="1"/>
  <c r="U51" i="1"/>
  <c r="U72" i="1"/>
  <c r="L51" i="1"/>
  <c r="H52" i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J53" i="1"/>
  <c r="G54" i="1"/>
  <c r="L53" i="1"/>
  <c r="O53" i="1"/>
  <c r="I54" i="1"/>
  <c r="N53" i="1"/>
  <c r="P53" i="1" s="1"/>
  <c r="O52" i="1"/>
  <c r="N52" i="1"/>
  <c r="P52" i="1" s="1"/>
  <c r="I48" i="1"/>
  <c r="N47" i="1"/>
  <c r="G49" i="1"/>
  <c r="J48" i="1"/>
  <c r="O48" i="1"/>
  <c r="L48" i="1"/>
  <c r="K47" i="1"/>
  <c r="F48" i="1"/>
  <c r="L47" i="1"/>
  <c r="J47" i="1"/>
  <c r="L52" i="1" l="1"/>
  <c r="I55" i="1"/>
  <c r="N54" i="1"/>
  <c r="J54" i="1"/>
  <c r="G55" i="1"/>
  <c r="L54" i="1"/>
  <c r="O54" i="1"/>
  <c r="L49" i="1"/>
  <c r="O49" i="1"/>
  <c r="J49" i="1"/>
  <c r="G50" i="1"/>
  <c r="M47" i="1"/>
  <c r="F49" i="1"/>
  <c r="K48" i="1"/>
  <c r="M48" i="1" s="1"/>
  <c r="Q48" i="1" s="1"/>
  <c r="R48" i="1" s="1"/>
  <c r="N48" i="1"/>
  <c r="P48" i="1" s="1"/>
  <c r="I49" i="1"/>
  <c r="O55" i="1" l="1"/>
  <c r="J55" i="1"/>
  <c r="G56" i="1"/>
  <c r="L55" i="1"/>
  <c r="P54" i="1"/>
  <c r="I56" i="1"/>
  <c r="N55" i="1"/>
  <c r="P55" i="1" s="1"/>
  <c r="N49" i="1"/>
  <c r="P49" i="1" s="1"/>
  <c r="I50" i="1"/>
  <c r="N50" i="1" s="1"/>
  <c r="K49" i="1"/>
  <c r="M49" i="1" s="1"/>
  <c r="Q49" i="1" s="1"/>
  <c r="R49" i="1" s="1"/>
  <c r="F50" i="1"/>
  <c r="O50" i="1"/>
  <c r="L50" i="1"/>
  <c r="J50" i="1"/>
  <c r="K50" i="1" l="1"/>
  <c r="M50" i="1" s="1"/>
  <c r="F51" i="1"/>
  <c r="I57" i="1"/>
  <c r="N56" i="1"/>
  <c r="L56" i="1"/>
  <c r="O56" i="1"/>
  <c r="G57" i="1"/>
  <c r="J56" i="1"/>
  <c r="P50" i="1"/>
  <c r="F52" i="1" l="1"/>
  <c r="K51" i="1"/>
  <c r="M51" i="1" s="1"/>
  <c r="Q51" i="1" s="1"/>
  <c r="R51" i="1" s="1"/>
  <c r="Q50" i="1"/>
  <c r="R50" i="1" s="1"/>
  <c r="J57" i="1"/>
  <c r="G58" i="1"/>
  <c r="L57" i="1"/>
  <c r="O57" i="1"/>
  <c r="P56" i="1"/>
  <c r="I58" i="1"/>
  <c r="N57" i="1"/>
  <c r="P57" i="1" s="1"/>
  <c r="F53" i="1" l="1"/>
  <c r="K52" i="1"/>
  <c r="M52" i="1" s="1"/>
  <c r="Q52" i="1" s="1"/>
  <c r="R52" i="1" s="1"/>
  <c r="J58" i="1"/>
  <c r="G59" i="1"/>
  <c r="L58" i="1"/>
  <c r="O58" i="1"/>
  <c r="I59" i="1"/>
  <c r="N58" i="1"/>
  <c r="P58" i="1" s="1"/>
  <c r="F54" i="1" l="1"/>
  <c r="K53" i="1"/>
  <c r="M53" i="1" s="1"/>
  <c r="Q53" i="1" s="1"/>
  <c r="I60" i="1"/>
  <c r="N59" i="1"/>
  <c r="O59" i="1"/>
  <c r="J59" i="1"/>
  <c r="G60" i="1"/>
  <c r="L59" i="1"/>
  <c r="F55" i="1" l="1"/>
  <c r="K54" i="1"/>
  <c r="M54" i="1" s="1"/>
  <c r="Q54" i="1" s="1"/>
  <c r="R54" i="1" s="1"/>
  <c r="P59" i="1"/>
  <c r="L60" i="1"/>
  <c r="O60" i="1"/>
  <c r="J60" i="1"/>
  <c r="G61" i="1"/>
  <c r="I61" i="1"/>
  <c r="N60" i="1"/>
  <c r="P60" i="1" s="1"/>
  <c r="F56" i="1" l="1"/>
  <c r="K55" i="1"/>
  <c r="M55" i="1" s="1"/>
  <c r="Q55" i="1" s="1"/>
  <c r="R55" i="1" s="1"/>
  <c r="J61" i="1"/>
  <c r="G62" i="1"/>
  <c r="L61" i="1"/>
  <c r="O61" i="1"/>
  <c r="I62" i="1"/>
  <c r="N61" i="1"/>
  <c r="P61" i="1" s="1"/>
  <c r="F57" i="1" l="1"/>
  <c r="K56" i="1"/>
  <c r="M56" i="1" s="1"/>
  <c r="Q56" i="1" s="1"/>
  <c r="R56" i="1" s="1"/>
  <c r="I63" i="1"/>
  <c r="N62" i="1"/>
  <c r="J62" i="1"/>
  <c r="G63" i="1"/>
  <c r="L62" i="1"/>
  <c r="O62" i="1"/>
  <c r="F58" i="1" l="1"/>
  <c r="K57" i="1"/>
  <c r="M57" i="1" s="1"/>
  <c r="Q57" i="1" s="1"/>
  <c r="R57" i="1" s="1"/>
  <c r="O63" i="1"/>
  <c r="J63" i="1"/>
  <c r="G64" i="1"/>
  <c r="L63" i="1"/>
  <c r="P62" i="1"/>
  <c r="I64" i="1"/>
  <c r="N63" i="1"/>
  <c r="P63" i="1" s="1"/>
  <c r="K58" i="1" l="1"/>
  <c r="M58" i="1" s="1"/>
  <c r="Q58" i="1" s="1"/>
  <c r="R58" i="1" s="1"/>
  <c r="F59" i="1"/>
  <c r="L64" i="1"/>
  <c r="O64" i="1"/>
  <c r="G65" i="1"/>
  <c r="J64" i="1"/>
  <c r="I65" i="1"/>
  <c r="N64" i="1"/>
  <c r="P64" i="1" s="1"/>
  <c r="F60" i="1" l="1"/>
  <c r="K59" i="1"/>
  <c r="M59" i="1" s="1"/>
  <c r="Q59" i="1" s="1"/>
  <c r="R59" i="1" s="1"/>
  <c r="J65" i="1"/>
  <c r="G66" i="1"/>
  <c r="L65" i="1"/>
  <c r="O65" i="1"/>
  <c r="I66" i="1"/>
  <c r="N65" i="1"/>
  <c r="P65" i="1" s="1"/>
  <c r="F61" i="1" l="1"/>
  <c r="K60" i="1"/>
  <c r="M60" i="1" s="1"/>
  <c r="Q60" i="1" s="1"/>
  <c r="R60" i="1" s="1"/>
  <c r="I67" i="1"/>
  <c r="N66" i="1"/>
  <c r="J66" i="1"/>
  <c r="G67" i="1"/>
  <c r="L66" i="1"/>
  <c r="O66" i="1"/>
  <c r="F62" i="1" l="1"/>
  <c r="K61" i="1"/>
  <c r="M61" i="1" s="1"/>
  <c r="Q61" i="1" s="1"/>
  <c r="R61" i="1" s="1"/>
  <c r="O67" i="1"/>
  <c r="J67" i="1"/>
  <c r="G68" i="1"/>
  <c r="L67" i="1"/>
  <c r="P66" i="1"/>
  <c r="I68" i="1"/>
  <c r="N67" i="1"/>
  <c r="P67" i="1" s="1"/>
  <c r="F63" i="1" l="1"/>
  <c r="K62" i="1"/>
  <c r="M62" i="1" s="1"/>
  <c r="Q62" i="1" s="1"/>
  <c r="R62" i="1" s="1"/>
  <c r="I69" i="1"/>
  <c r="N68" i="1"/>
  <c r="L68" i="1"/>
  <c r="O68" i="1"/>
  <c r="J68" i="1"/>
  <c r="G69" i="1"/>
  <c r="F64" i="1" l="1"/>
  <c r="K63" i="1"/>
  <c r="M63" i="1" s="1"/>
  <c r="Q63" i="1" s="1"/>
  <c r="R63" i="1" s="1"/>
  <c r="J69" i="1"/>
  <c r="G70" i="1"/>
  <c r="L69" i="1"/>
  <c r="O69" i="1"/>
  <c r="P68" i="1"/>
  <c r="I70" i="1"/>
  <c r="N69" i="1"/>
  <c r="P69" i="1" s="1"/>
  <c r="F65" i="1" l="1"/>
  <c r="K64" i="1"/>
  <c r="M64" i="1" s="1"/>
  <c r="Q64" i="1" s="1"/>
  <c r="R64" i="1" s="1"/>
  <c r="I71" i="1"/>
  <c r="N70" i="1"/>
  <c r="J70" i="1"/>
  <c r="G71" i="1"/>
  <c r="L70" i="1"/>
  <c r="O70" i="1"/>
  <c r="F66" i="1" l="1"/>
  <c r="K65" i="1"/>
  <c r="M65" i="1" s="1"/>
  <c r="Q65" i="1" s="1"/>
  <c r="R65" i="1" s="1"/>
  <c r="P70" i="1"/>
  <c r="O71" i="1"/>
  <c r="J71" i="1"/>
  <c r="G72" i="1"/>
  <c r="L71" i="1"/>
  <c r="I72" i="1"/>
  <c r="N71" i="1"/>
  <c r="P71" i="1" s="1"/>
  <c r="F67" i="1" l="1"/>
  <c r="K66" i="1"/>
  <c r="M66" i="1" s="1"/>
  <c r="Q66" i="1" s="1"/>
  <c r="R66" i="1" s="1"/>
  <c r="L72" i="1"/>
  <c r="O72" i="1"/>
  <c r="G73" i="1"/>
  <c r="J72" i="1"/>
  <c r="I73" i="1"/>
  <c r="N72" i="1"/>
  <c r="P72" i="1" s="1"/>
  <c r="F68" i="1" l="1"/>
  <c r="K67" i="1"/>
  <c r="M67" i="1" s="1"/>
  <c r="Q67" i="1" s="1"/>
  <c r="R67" i="1" s="1"/>
  <c r="I74" i="1"/>
  <c r="N73" i="1"/>
  <c r="J73" i="1"/>
  <c r="G74" i="1"/>
  <c r="L73" i="1"/>
  <c r="O73" i="1"/>
  <c r="F69" i="1" l="1"/>
  <c r="K68" i="1"/>
  <c r="M68" i="1" s="1"/>
  <c r="Q68" i="1" s="1"/>
  <c r="R68" i="1" s="1"/>
  <c r="J74" i="1"/>
  <c r="G75" i="1"/>
  <c r="L74" i="1"/>
  <c r="O74" i="1"/>
  <c r="P73" i="1"/>
  <c r="I75" i="1"/>
  <c r="N74" i="1"/>
  <c r="P74" i="1" s="1"/>
  <c r="F70" i="1" l="1"/>
  <c r="K69" i="1"/>
  <c r="M69" i="1" s="1"/>
  <c r="Q69" i="1" s="1"/>
  <c r="R69" i="1" s="1"/>
  <c r="I76" i="1"/>
  <c r="N75" i="1"/>
  <c r="O75" i="1"/>
  <c r="J75" i="1"/>
  <c r="G76" i="1"/>
  <c r="L75" i="1"/>
  <c r="F71" i="1" l="1"/>
  <c r="K70" i="1"/>
  <c r="M70" i="1" s="1"/>
  <c r="Q70" i="1" s="1"/>
  <c r="R70" i="1" s="1"/>
  <c r="P75" i="1"/>
  <c r="I77" i="1"/>
  <c r="N76" i="1"/>
  <c r="L76" i="1"/>
  <c r="O76" i="1"/>
  <c r="J76" i="1"/>
  <c r="G77" i="1"/>
  <c r="F72" i="1" l="1"/>
  <c r="K71" i="1"/>
  <c r="M71" i="1" s="1"/>
  <c r="Q71" i="1" s="1"/>
  <c r="R71" i="1" s="1"/>
  <c r="P76" i="1"/>
  <c r="I78" i="1"/>
  <c r="N77" i="1"/>
  <c r="J77" i="1"/>
  <c r="G78" i="1"/>
  <c r="L77" i="1"/>
  <c r="O77" i="1"/>
  <c r="F73" i="1" l="1"/>
  <c r="K72" i="1"/>
  <c r="M72" i="1" s="1"/>
  <c r="Q72" i="1" s="1"/>
  <c r="R72" i="1" s="1"/>
  <c r="P77" i="1"/>
  <c r="I79" i="1"/>
  <c r="N78" i="1"/>
  <c r="J78" i="1"/>
  <c r="G79" i="1"/>
  <c r="L78" i="1"/>
  <c r="O78" i="1"/>
  <c r="F74" i="1" l="1"/>
  <c r="K73" i="1"/>
  <c r="M73" i="1" s="1"/>
  <c r="Q73" i="1" s="1"/>
  <c r="R73" i="1" s="1"/>
  <c r="P78" i="1"/>
  <c r="O79" i="1"/>
  <c r="J79" i="1"/>
  <c r="G80" i="1"/>
  <c r="L79" i="1"/>
  <c r="I80" i="1"/>
  <c r="N79" i="1"/>
  <c r="P79" i="1" s="1"/>
  <c r="F75" i="1" l="1"/>
  <c r="K74" i="1"/>
  <c r="M74" i="1" s="1"/>
  <c r="Q74" i="1" s="1"/>
  <c r="R74" i="1" s="1"/>
  <c r="I81" i="1"/>
  <c r="N80" i="1"/>
  <c r="L80" i="1"/>
  <c r="O80" i="1"/>
  <c r="G81" i="1"/>
  <c r="J80" i="1"/>
  <c r="F76" i="1" l="1"/>
  <c r="K75" i="1"/>
  <c r="M75" i="1" s="1"/>
  <c r="Q75" i="1" s="1"/>
  <c r="R75" i="1" s="1"/>
  <c r="J81" i="1"/>
  <c r="G82" i="1"/>
  <c r="L81" i="1"/>
  <c r="O81" i="1"/>
  <c r="P80" i="1"/>
  <c r="I82" i="1"/>
  <c r="N81" i="1"/>
  <c r="P81" i="1" s="1"/>
  <c r="F77" i="1" l="1"/>
  <c r="K76" i="1"/>
  <c r="M76" i="1" s="1"/>
  <c r="Q76" i="1" s="1"/>
  <c r="R76" i="1" s="1"/>
  <c r="I83" i="1"/>
  <c r="N82" i="1"/>
  <c r="J82" i="1"/>
  <c r="G83" i="1"/>
  <c r="L82" i="1"/>
  <c r="O82" i="1"/>
  <c r="F78" i="1" l="1"/>
  <c r="K77" i="1"/>
  <c r="M77" i="1" s="1"/>
  <c r="Q77" i="1" s="1"/>
  <c r="R77" i="1" s="1"/>
  <c r="O83" i="1"/>
  <c r="J83" i="1"/>
  <c r="G84" i="1"/>
  <c r="L83" i="1"/>
  <c r="P82" i="1"/>
  <c r="I84" i="1"/>
  <c r="N83" i="1"/>
  <c r="P83" i="1" s="1"/>
  <c r="F79" i="1" l="1"/>
  <c r="K78" i="1"/>
  <c r="M78" i="1" s="1"/>
  <c r="Q78" i="1" s="1"/>
  <c r="R78" i="1" s="1"/>
  <c r="I85" i="1"/>
  <c r="N84" i="1"/>
  <c r="L84" i="1"/>
  <c r="O84" i="1"/>
  <c r="J84" i="1"/>
  <c r="G85" i="1"/>
  <c r="F80" i="1" l="1"/>
  <c r="K79" i="1"/>
  <c r="M79" i="1" s="1"/>
  <c r="Q79" i="1" s="1"/>
  <c r="R79" i="1" s="1"/>
  <c r="J85" i="1"/>
  <c r="G86" i="1"/>
  <c r="L85" i="1"/>
  <c r="O85" i="1"/>
  <c r="P84" i="1"/>
  <c r="I86" i="1"/>
  <c r="N85" i="1"/>
  <c r="P85" i="1" s="1"/>
  <c r="F81" i="1" l="1"/>
  <c r="K80" i="1"/>
  <c r="M80" i="1" s="1"/>
  <c r="Q80" i="1" s="1"/>
  <c r="R80" i="1" s="1"/>
  <c r="I87" i="1"/>
  <c r="N86" i="1"/>
  <c r="J86" i="1"/>
  <c r="G87" i="1"/>
  <c r="L86" i="1"/>
  <c r="O86" i="1"/>
  <c r="F82" i="1" l="1"/>
  <c r="K81" i="1"/>
  <c r="M81" i="1" s="1"/>
  <c r="Q81" i="1" s="1"/>
  <c r="R81" i="1" s="1"/>
  <c r="O87" i="1"/>
  <c r="J87" i="1"/>
  <c r="G88" i="1"/>
  <c r="L87" i="1"/>
  <c r="P86" i="1"/>
  <c r="I88" i="1"/>
  <c r="N87" i="1"/>
  <c r="P87" i="1" s="1"/>
  <c r="K82" i="1" l="1"/>
  <c r="M82" i="1" s="1"/>
  <c r="Q82" i="1" s="1"/>
  <c r="R82" i="1" s="1"/>
  <c r="F83" i="1"/>
  <c r="L88" i="1"/>
  <c r="O88" i="1"/>
  <c r="G89" i="1"/>
  <c r="J88" i="1"/>
  <c r="I89" i="1"/>
  <c r="N88" i="1"/>
  <c r="P88" i="1" s="1"/>
  <c r="F84" i="1" l="1"/>
  <c r="K83" i="1"/>
  <c r="M83" i="1" s="1"/>
  <c r="Q83" i="1" s="1"/>
  <c r="R83" i="1" s="1"/>
  <c r="I90" i="1"/>
  <c r="N89" i="1"/>
  <c r="J89" i="1"/>
  <c r="G90" i="1"/>
  <c r="L89" i="1"/>
  <c r="O89" i="1"/>
  <c r="K84" i="1" l="1"/>
  <c r="M84" i="1" s="1"/>
  <c r="Q84" i="1" s="1"/>
  <c r="R84" i="1" s="1"/>
  <c r="F85" i="1"/>
  <c r="J90" i="1"/>
  <c r="G91" i="1"/>
  <c r="L90" i="1"/>
  <c r="O90" i="1"/>
  <c r="P89" i="1"/>
  <c r="I91" i="1"/>
  <c r="N90" i="1"/>
  <c r="P90" i="1" s="1"/>
  <c r="F86" i="1" l="1"/>
  <c r="K85" i="1"/>
  <c r="M85" i="1" s="1"/>
  <c r="Q85" i="1" s="1"/>
  <c r="R85" i="1" s="1"/>
  <c r="I92" i="1"/>
  <c r="N91" i="1"/>
  <c r="O91" i="1"/>
  <c r="J91" i="1"/>
  <c r="G92" i="1"/>
  <c r="L91" i="1"/>
  <c r="F87" i="1" l="1"/>
  <c r="K86" i="1"/>
  <c r="M86" i="1" s="1"/>
  <c r="Q86" i="1" s="1"/>
  <c r="R86" i="1" s="1"/>
  <c r="L92" i="1"/>
  <c r="O92" i="1"/>
  <c r="J92" i="1"/>
  <c r="G93" i="1"/>
  <c r="P91" i="1"/>
  <c r="I93" i="1"/>
  <c r="N92" i="1"/>
  <c r="P92" i="1" s="1"/>
  <c r="F88" i="1" l="1"/>
  <c r="K87" i="1"/>
  <c r="M87" i="1" s="1"/>
  <c r="Q87" i="1" s="1"/>
  <c r="R87" i="1" s="1"/>
  <c r="J93" i="1"/>
  <c r="G94" i="1"/>
  <c r="L93" i="1"/>
  <c r="O93" i="1"/>
  <c r="I94" i="1"/>
  <c r="N93" i="1"/>
  <c r="P93" i="1" s="1"/>
  <c r="K88" i="1" l="1"/>
  <c r="M88" i="1" s="1"/>
  <c r="Q88" i="1" s="1"/>
  <c r="R88" i="1" s="1"/>
  <c r="F89" i="1"/>
  <c r="J94" i="1"/>
  <c r="G95" i="1"/>
  <c r="L94" i="1"/>
  <c r="O94" i="1"/>
  <c r="I95" i="1"/>
  <c r="N94" i="1"/>
  <c r="P94" i="1" s="1"/>
  <c r="F90" i="1" l="1"/>
  <c r="K89" i="1"/>
  <c r="M89" i="1" s="1"/>
  <c r="Q89" i="1" s="1"/>
  <c r="R89" i="1" s="1"/>
  <c r="O95" i="1"/>
  <c r="J95" i="1"/>
  <c r="G96" i="1"/>
  <c r="L95" i="1"/>
  <c r="I96" i="1"/>
  <c r="N95" i="1"/>
  <c r="P95" i="1" s="1"/>
  <c r="F91" i="1" l="1"/>
  <c r="K90" i="1"/>
  <c r="M90" i="1" s="1"/>
  <c r="Q90" i="1" s="1"/>
  <c r="R90" i="1" s="1"/>
  <c r="I97" i="1"/>
  <c r="N96" i="1"/>
  <c r="L96" i="1"/>
  <c r="O96" i="1"/>
  <c r="G97" i="1"/>
  <c r="J96" i="1"/>
  <c r="F92" i="1" l="1"/>
  <c r="K91" i="1"/>
  <c r="M91" i="1" s="1"/>
  <c r="Q91" i="1" s="1"/>
  <c r="R91" i="1" s="1"/>
  <c r="J97" i="1"/>
  <c r="G98" i="1"/>
  <c r="L97" i="1"/>
  <c r="O97" i="1"/>
  <c r="P96" i="1"/>
  <c r="I98" i="1"/>
  <c r="N97" i="1"/>
  <c r="P97" i="1" s="1"/>
  <c r="F93" i="1" l="1"/>
  <c r="K92" i="1"/>
  <c r="M92" i="1" s="1"/>
  <c r="Q92" i="1" s="1"/>
  <c r="R92" i="1" s="1"/>
  <c r="J98" i="1"/>
  <c r="G99" i="1"/>
  <c r="L98" i="1"/>
  <c r="O98" i="1"/>
  <c r="I99" i="1"/>
  <c r="N98" i="1"/>
  <c r="P98" i="1" s="1"/>
  <c r="F94" i="1" l="1"/>
  <c r="K93" i="1"/>
  <c r="M93" i="1" s="1"/>
  <c r="Q93" i="1" s="1"/>
  <c r="R93" i="1" s="1"/>
  <c r="I100" i="1"/>
  <c r="N99" i="1"/>
  <c r="O99" i="1"/>
  <c r="J99" i="1"/>
  <c r="G100" i="1"/>
  <c r="L99" i="1"/>
  <c r="K94" i="1" l="1"/>
  <c r="M94" i="1" s="1"/>
  <c r="Q94" i="1" s="1"/>
  <c r="R94" i="1" s="1"/>
  <c r="F95" i="1"/>
  <c r="L100" i="1"/>
  <c r="O100" i="1"/>
  <c r="J100" i="1"/>
  <c r="G101" i="1"/>
  <c r="P99" i="1"/>
  <c r="I101" i="1"/>
  <c r="N100" i="1"/>
  <c r="P100" i="1" s="1"/>
  <c r="K95" i="1" l="1"/>
  <c r="M95" i="1" s="1"/>
  <c r="Q95" i="1" s="1"/>
  <c r="R95" i="1" s="1"/>
  <c r="F96" i="1"/>
  <c r="J101" i="1"/>
  <c r="G102" i="1"/>
  <c r="L101" i="1"/>
  <c r="O101" i="1"/>
  <c r="I102" i="1"/>
  <c r="N101" i="1"/>
  <c r="P101" i="1" s="1"/>
  <c r="K96" i="1" l="1"/>
  <c r="M96" i="1" s="1"/>
  <c r="Q96" i="1" s="1"/>
  <c r="R96" i="1" s="1"/>
  <c r="F97" i="1"/>
  <c r="I103" i="1"/>
  <c r="N102" i="1"/>
  <c r="J102" i="1"/>
  <c r="G103" i="1"/>
  <c r="L102" i="1"/>
  <c r="O102" i="1"/>
  <c r="F98" i="1" l="1"/>
  <c r="K97" i="1"/>
  <c r="M97" i="1" s="1"/>
  <c r="Q97" i="1" s="1"/>
  <c r="R97" i="1" s="1"/>
  <c r="P102" i="1"/>
  <c r="I104" i="1"/>
  <c r="N103" i="1"/>
  <c r="O103" i="1"/>
  <c r="J103" i="1"/>
  <c r="G104" i="1"/>
  <c r="L103" i="1"/>
  <c r="F99" i="1" l="1"/>
  <c r="K98" i="1"/>
  <c r="M98" i="1" s="1"/>
  <c r="Q98" i="1" s="1"/>
  <c r="R98" i="1" s="1"/>
  <c r="L104" i="1"/>
  <c r="O104" i="1"/>
  <c r="G105" i="1"/>
  <c r="J104" i="1"/>
  <c r="P103" i="1"/>
  <c r="I105" i="1"/>
  <c r="N104" i="1"/>
  <c r="P104" i="1" s="1"/>
  <c r="K99" i="1" l="1"/>
  <c r="M99" i="1" s="1"/>
  <c r="Q99" i="1" s="1"/>
  <c r="R99" i="1" s="1"/>
  <c r="F100" i="1"/>
  <c r="J105" i="1"/>
  <c r="G106" i="1"/>
  <c r="L105" i="1"/>
  <c r="O105" i="1"/>
  <c r="I106" i="1"/>
  <c r="N105" i="1"/>
  <c r="P105" i="1" s="1"/>
  <c r="F101" i="1" l="1"/>
  <c r="K100" i="1"/>
  <c r="M100" i="1" s="1"/>
  <c r="Q100" i="1" s="1"/>
  <c r="R100" i="1" s="1"/>
  <c r="I107" i="1"/>
  <c r="N106" i="1"/>
  <c r="J106" i="1"/>
  <c r="G107" i="1"/>
  <c r="L106" i="1"/>
  <c r="O106" i="1"/>
  <c r="F102" i="1" l="1"/>
  <c r="K101" i="1"/>
  <c r="M101" i="1" s="1"/>
  <c r="Q101" i="1" s="1"/>
  <c r="R101" i="1" s="1"/>
  <c r="O107" i="1"/>
  <c r="J107" i="1"/>
  <c r="G108" i="1"/>
  <c r="L107" i="1"/>
  <c r="P106" i="1"/>
  <c r="I108" i="1"/>
  <c r="N107" i="1"/>
  <c r="P107" i="1" s="1"/>
  <c r="F103" i="1" l="1"/>
  <c r="K102" i="1"/>
  <c r="M102" i="1" s="1"/>
  <c r="Q102" i="1" s="1"/>
  <c r="R102" i="1" s="1"/>
  <c r="I109" i="1"/>
  <c r="N108" i="1"/>
  <c r="L108" i="1"/>
  <c r="O108" i="1"/>
  <c r="J108" i="1"/>
  <c r="G109" i="1"/>
  <c r="F104" i="1" l="1"/>
  <c r="K103" i="1"/>
  <c r="M103" i="1" s="1"/>
  <c r="Q103" i="1" s="1"/>
  <c r="R103" i="1" s="1"/>
  <c r="P108" i="1"/>
  <c r="J109" i="1"/>
  <c r="G110" i="1"/>
  <c r="L109" i="1"/>
  <c r="O109" i="1"/>
  <c r="I110" i="1"/>
  <c r="N109" i="1"/>
  <c r="P109" i="1" s="1"/>
  <c r="F105" i="1" l="1"/>
  <c r="K104" i="1"/>
  <c r="M104" i="1" s="1"/>
  <c r="Q104" i="1" s="1"/>
  <c r="R104" i="1" s="1"/>
  <c r="I111" i="1"/>
  <c r="N110" i="1"/>
  <c r="J110" i="1"/>
  <c r="G111" i="1"/>
  <c r="L110" i="1"/>
  <c r="O110" i="1"/>
  <c r="K105" i="1" l="1"/>
  <c r="M105" i="1" s="1"/>
  <c r="Q105" i="1" s="1"/>
  <c r="R105" i="1" s="1"/>
  <c r="F106" i="1"/>
  <c r="P110" i="1"/>
  <c r="O111" i="1"/>
  <c r="J111" i="1"/>
  <c r="G112" i="1"/>
  <c r="L111" i="1"/>
  <c r="I112" i="1"/>
  <c r="N111" i="1"/>
  <c r="P111" i="1" s="1"/>
  <c r="F107" i="1" l="1"/>
  <c r="K106" i="1"/>
  <c r="M106" i="1" s="1"/>
  <c r="Q106" i="1" s="1"/>
  <c r="R106" i="1" s="1"/>
  <c r="I113" i="1"/>
  <c r="N112" i="1"/>
  <c r="L112" i="1"/>
  <c r="O112" i="1"/>
  <c r="G113" i="1"/>
  <c r="J112" i="1"/>
  <c r="F108" i="1" l="1"/>
  <c r="K107" i="1"/>
  <c r="M107" i="1" s="1"/>
  <c r="Q107" i="1" s="1"/>
  <c r="R107" i="1" s="1"/>
  <c r="J113" i="1"/>
  <c r="G114" i="1"/>
  <c r="L113" i="1"/>
  <c r="O113" i="1"/>
  <c r="P112" i="1"/>
  <c r="I114" i="1"/>
  <c r="N113" i="1"/>
  <c r="P113" i="1" s="1"/>
  <c r="F109" i="1" l="1"/>
  <c r="K108" i="1"/>
  <c r="M108" i="1" s="1"/>
  <c r="Q108" i="1" s="1"/>
  <c r="R108" i="1" s="1"/>
  <c r="I115" i="1"/>
  <c r="N114" i="1"/>
  <c r="J114" i="1"/>
  <c r="G115" i="1"/>
  <c r="L114" i="1"/>
  <c r="O114" i="1"/>
  <c r="K109" i="1" l="1"/>
  <c r="M109" i="1" s="1"/>
  <c r="Q109" i="1" s="1"/>
  <c r="R109" i="1" s="1"/>
  <c r="F110" i="1"/>
  <c r="O115" i="1"/>
  <c r="J115" i="1"/>
  <c r="G116" i="1"/>
  <c r="L115" i="1"/>
  <c r="P114" i="1"/>
  <c r="I116" i="1"/>
  <c r="N115" i="1"/>
  <c r="P115" i="1" s="1"/>
  <c r="F111" i="1" l="1"/>
  <c r="K110" i="1"/>
  <c r="M110" i="1" s="1"/>
  <c r="Q110" i="1" s="1"/>
  <c r="R110" i="1" s="1"/>
  <c r="I117" i="1"/>
  <c r="N116" i="1"/>
  <c r="L116" i="1"/>
  <c r="O116" i="1"/>
  <c r="J116" i="1"/>
  <c r="G117" i="1"/>
  <c r="F112" i="1" l="1"/>
  <c r="K111" i="1"/>
  <c r="M111" i="1" s="1"/>
  <c r="Q111" i="1" s="1"/>
  <c r="R111" i="1" s="1"/>
  <c r="P116" i="1"/>
  <c r="J117" i="1"/>
  <c r="G118" i="1"/>
  <c r="L117" i="1"/>
  <c r="O117" i="1"/>
  <c r="I118" i="1"/>
  <c r="N117" i="1"/>
  <c r="P117" i="1" s="1"/>
  <c r="K112" i="1" l="1"/>
  <c r="M112" i="1" s="1"/>
  <c r="Q112" i="1" s="1"/>
  <c r="R112" i="1" s="1"/>
  <c r="F113" i="1"/>
  <c r="I119" i="1"/>
  <c r="N118" i="1"/>
  <c r="J118" i="1"/>
  <c r="G119" i="1"/>
  <c r="L118" i="1"/>
  <c r="O118" i="1"/>
  <c r="K113" i="1" l="1"/>
  <c r="M113" i="1" s="1"/>
  <c r="Q113" i="1" s="1"/>
  <c r="R113" i="1" s="1"/>
  <c r="F114" i="1"/>
  <c r="O119" i="1"/>
  <c r="J119" i="1"/>
  <c r="G120" i="1"/>
  <c r="L119" i="1"/>
  <c r="P118" i="1"/>
  <c r="I120" i="1"/>
  <c r="N119" i="1"/>
  <c r="P119" i="1" s="1"/>
  <c r="F115" i="1" l="1"/>
  <c r="K114" i="1"/>
  <c r="M114" i="1" s="1"/>
  <c r="Q114" i="1" s="1"/>
  <c r="R114" i="1" s="1"/>
  <c r="L120" i="1"/>
  <c r="O120" i="1"/>
  <c r="G121" i="1"/>
  <c r="J120" i="1"/>
  <c r="I121" i="1"/>
  <c r="N120" i="1"/>
  <c r="P120" i="1" s="1"/>
  <c r="K115" i="1" l="1"/>
  <c r="M115" i="1" s="1"/>
  <c r="Q115" i="1" s="1"/>
  <c r="R115" i="1" s="1"/>
  <c r="F116" i="1"/>
  <c r="I122" i="1"/>
  <c r="N121" i="1"/>
  <c r="J121" i="1"/>
  <c r="G122" i="1"/>
  <c r="L121" i="1"/>
  <c r="O121" i="1"/>
  <c r="K116" i="1" l="1"/>
  <c r="M116" i="1" s="1"/>
  <c r="Q116" i="1" s="1"/>
  <c r="R116" i="1" s="1"/>
  <c r="F117" i="1"/>
  <c r="J122" i="1"/>
  <c r="G123" i="1"/>
  <c r="L122" i="1"/>
  <c r="O122" i="1"/>
  <c r="P121" i="1"/>
  <c r="I123" i="1"/>
  <c r="N122" i="1"/>
  <c r="P122" i="1" s="1"/>
  <c r="K117" i="1" l="1"/>
  <c r="M117" i="1" s="1"/>
  <c r="Q117" i="1" s="1"/>
  <c r="R117" i="1" s="1"/>
  <c r="F118" i="1"/>
  <c r="N123" i="1"/>
  <c r="I124" i="1"/>
  <c r="O123" i="1"/>
  <c r="J123" i="1"/>
  <c r="G124" i="1"/>
  <c r="L123" i="1"/>
  <c r="F119" i="1" l="1"/>
  <c r="K118" i="1"/>
  <c r="M118" i="1" s="1"/>
  <c r="Q118" i="1" s="1"/>
  <c r="R118" i="1" s="1"/>
  <c r="L124" i="1"/>
  <c r="G125" i="1"/>
  <c r="J124" i="1"/>
  <c r="O124" i="1"/>
  <c r="I125" i="1"/>
  <c r="N124" i="1"/>
  <c r="P124" i="1" s="1"/>
  <c r="P123" i="1"/>
  <c r="F120" i="1" l="1"/>
  <c r="K119" i="1"/>
  <c r="M119" i="1" s="1"/>
  <c r="Q119" i="1" s="1"/>
  <c r="R119" i="1" s="1"/>
  <c r="N125" i="1"/>
  <c r="I126" i="1"/>
  <c r="O125" i="1"/>
  <c r="J125" i="1"/>
  <c r="G126" i="1"/>
  <c r="L125" i="1"/>
  <c r="F121" i="1" l="1"/>
  <c r="K120" i="1"/>
  <c r="M120" i="1" s="1"/>
  <c r="Q120" i="1" s="1"/>
  <c r="R120" i="1" s="1"/>
  <c r="L126" i="1"/>
  <c r="G127" i="1"/>
  <c r="O126" i="1"/>
  <c r="J126" i="1"/>
  <c r="I127" i="1"/>
  <c r="N126" i="1"/>
  <c r="P126" i="1" s="1"/>
  <c r="P125" i="1"/>
  <c r="K121" i="1" l="1"/>
  <c r="M121" i="1" s="1"/>
  <c r="Q121" i="1" s="1"/>
  <c r="R121" i="1" s="1"/>
  <c r="F122" i="1"/>
  <c r="J127" i="1"/>
  <c r="G128" i="1"/>
  <c r="L127" i="1"/>
  <c r="O127" i="1"/>
  <c r="I128" i="1"/>
  <c r="N127" i="1"/>
  <c r="P127" i="1" s="1"/>
  <c r="F123" i="1" l="1"/>
  <c r="K122" i="1"/>
  <c r="M122" i="1" s="1"/>
  <c r="Q122" i="1" s="1"/>
  <c r="R122" i="1" s="1"/>
  <c r="I129" i="1"/>
  <c r="N128" i="1"/>
  <c r="J128" i="1"/>
  <c r="G129" i="1"/>
  <c r="L128" i="1"/>
  <c r="O128" i="1"/>
  <c r="K123" i="1" l="1"/>
  <c r="M123" i="1" s="1"/>
  <c r="Q123" i="1" s="1"/>
  <c r="R123" i="1" s="1"/>
  <c r="F124" i="1"/>
  <c r="P128" i="1"/>
  <c r="N129" i="1"/>
  <c r="I130" i="1"/>
  <c r="O129" i="1"/>
  <c r="J129" i="1"/>
  <c r="G130" i="1"/>
  <c r="L129" i="1"/>
  <c r="K124" i="1" l="1"/>
  <c r="M124" i="1" s="1"/>
  <c r="Q124" i="1" s="1"/>
  <c r="R124" i="1" s="1"/>
  <c r="F125" i="1"/>
  <c r="L130" i="1"/>
  <c r="O130" i="1"/>
  <c r="J130" i="1"/>
  <c r="G131" i="1"/>
  <c r="I131" i="1"/>
  <c r="N130" i="1"/>
  <c r="P130" i="1" s="1"/>
  <c r="P129" i="1"/>
  <c r="F126" i="1" l="1"/>
  <c r="K125" i="1"/>
  <c r="M125" i="1" s="1"/>
  <c r="Q125" i="1" s="1"/>
  <c r="R125" i="1" s="1"/>
  <c r="J131" i="1"/>
  <c r="G132" i="1"/>
  <c r="L131" i="1"/>
  <c r="O131" i="1"/>
  <c r="I132" i="1"/>
  <c r="N131" i="1"/>
  <c r="P131" i="1" s="1"/>
  <c r="K126" i="1" l="1"/>
  <c r="M126" i="1" s="1"/>
  <c r="Q126" i="1" s="1"/>
  <c r="R126" i="1" s="1"/>
  <c r="F127" i="1"/>
  <c r="I133" i="1"/>
  <c r="N132" i="1"/>
  <c r="J132" i="1"/>
  <c r="G133" i="1"/>
  <c r="L132" i="1"/>
  <c r="O132" i="1"/>
  <c r="F128" i="1" l="1"/>
  <c r="K127" i="1"/>
  <c r="M127" i="1" s="1"/>
  <c r="Q127" i="1" s="1"/>
  <c r="R127" i="1" s="1"/>
  <c r="O133" i="1"/>
  <c r="J133" i="1"/>
  <c r="G134" i="1"/>
  <c r="L133" i="1"/>
  <c r="P132" i="1"/>
  <c r="N133" i="1"/>
  <c r="P133" i="1" s="1"/>
  <c r="I134" i="1"/>
  <c r="K128" i="1" l="1"/>
  <c r="M128" i="1" s="1"/>
  <c r="Q128" i="1" s="1"/>
  <c r="R128" i="1" s="1"/>
  <c r="F129" i="1"/>
  <c r="I135" i="1"/>
  <c r="N134" i="1"/>
  <c r="L134" i="1"/>
  <c r="J134" i="1"/>
  <c r="O134" i="1"/>
  <c r="G135" i="1"/>
  <c r="F130" i="1" l="1"/>
  <c r="K129" i="1"/>
  <c r="M129" i="1" s="1"/>
  <c r="Q129" i="1" s="1"/>
  <c r="R129" i="1" s="1"/>
  <c r="J135" i="1"/>
  <c r="G136" i="1"/>
  <c r="L135" i="1"/>
  <c r="O135" i="1"/>
  <c r="P134" i="1"/>
  <c r="I136" i="1"/>
  <c r="N135" i="1"/>
  <c r="P135" i="1" s="1"/>
  <c r="F131" i="1" l="1"/>
  <c r="K130" i="1"/>
  <c r="M130" i="1" s="1"/>
  <c r="Q130" i="1" s="1"/>
  <c r="R130" i="1" s="1"/>
  <c r="I137" i="1"/>
  <c r="N136" i="1"/>
  <c r="J136" i="1"/>
  <c r="G137" i="1"/>
  <c r="L136" i="1"/>
  <c r="O136" i="1"/>
  <c r="F132" i="1" l="1"/>
  <c r="K131" i="1"/>
  <c r="M131" i="1" s="1"/>
  <c r="Q131" i="1" s="1"/>
  <c r="R131" i="1" s="1"/>
  <c r="O137" i="1"/>
  <c r="J137" i="1"/>
  <c r="G138" i="1"/>
  <c r="L137" i="1"/>
  <c r="P136" i="1"/>
  <c r="N137" i="1"/>
  <c r="P137" i="1" s="1"/>
  <c r="I138" i="1"/>
  <c r="K132" i="1" l="1"/>
  <c r="M132" i="1" s="1"/>
  <c r="Q132" i="1" s="1"/>
  <c r="R132" i="1" s="1"/>
  <c r="F133" i="1"/>
  <c r="I139" i="1"/>
  <c r="N138" i="1"/>
  <c r="L138" i="1"/>
  <c r="J138" i="1"/>
  <c r="O138" i="1"/>
  <c r="G139" i="1"/>
  <c r="F134" i="1" l="1"/>
  <c r="K133" i="1"/>
  <c r="M133" i="1" s="1"/>
  <c r="Q133" i="1" s="1"/>
  <c r="R133" i="1" s="1"/>
  <c r="J139" i="1"/>
  <c r="G140" i="1"/>
  <c r="L139" i="1"/>
  <c r="O139" i="1"/>
  <c r="P138" i="1"/>
  <c r="I140" i="1"/>
  <c r="N139" i="1"/>
  <c r="P139" i="1" s="1"/>
  <c r="F135" i="1" l="1"/>
  <c r="K134" i="1"/>
  <c r="M134" i="1" s="1"/>
  <c r="Q134" i="1" s="1"/>
  <c r="R134" i="1" s="1"/>
  <c r="I141" i="1"/>
  <c r="N140" i="1"/>
  <c r="J140" i="1"/>
  <c r="G141" i="1"/>
  <c r="L140" i="1"/>
  <c r="O140" i="1"/>
  <c r="F136" i="1" l="1"/>
  <c r="K135" i="1"/>
  <c r="M135" i="1" s="1"/>
  <c r="Q135" i="1" s="1"/>
  <c r="R135" i="1" s="1"/>
  <c r="O141" i="1"/>
  <c r="J141" i="1"/>
  <c r="G142" i="1"/>
  <c r="L141" i="1"/>
  <c r="P140" i="1"/>
  <c r="N141" i="1"/>
  <c r="P141" i="1" s="1"/>
  <c r="I142" i="1"/>
  <c r="K136" i="1" l="1"/>
  <c r="M136" i="1" s="1"/>
  <c r="Q136" i="1" s="1"/>
  <c r="R136" i="1" s="1"/>
  <c r="F137" i="1"/>
  <c r="L142" i="1"/>
  <c r="O142" i="1"/>
  <c r="J142" i="1"/>
  <c r="G143" i="1"/>
  <c r="I143" i="1"/>
  <c r="N142" i="1"/>
  <c r="P142" i="1" s="1"/>
  <c r="K137" i="1" l="1"/>
  <c r="M137" i="1" s="1"/>
  <c r="Q137" i="1" s="1"/>
  <c r="R137" i="1" s="1"/>
  <c r="F138" i="1"/>
  <c r="I144" i="1"/>
  <c r="N143" i="1"/>
  <c r="J143" i="1"/>
  <c r="G144" i="1"/>
  <c r="L143" i="1"/>
  <c r="O143" i="1"/>
  <c r="K138" i="1" l="1"/>
  <c r="M138" i="1" s="1"/>
  <c r="Q138" i="1" s="1"/>
  <c r="R138" i="1" s="1"/>
  <c r="F139" i="1"/>
  <c r="G145" i="1"/>
  <c r="J144" i="1"/>
  <c r="L144" i="1"/>
  <c r="O144" i="1"/>
  <c r="P143" i="1"/>
  <c r="I145" i="1"/>
  <c r="N144" i="1"/>
  <c r="P144" i="1" s="1"/>
  <c r="K139" i="1" l="1"/>
  <c r="M139" i="1" s="1"/>
  <c r="Q139" i="1" s="1"/>
  <c r="R139" i="1" s="1"/>
  <c r="F140" i="1"/>
  <c r="N145" i="1"/>
  <c r="I146" i="1"/>
  <c r="O145" i="1"/>
  <c r="J145" i="1"/>
  <c r="G146" i="1"/>
  <c r="L145" i="1"/>
  <c r="F141" i="1" l="1"/>
  <c r="K140" i="1"/>
  <c r="M140" i="1" s="1"/>
  <c r="Q140" i="1" s="1"/>
  <c r="R140" i="1" s="1"/>
  <c r="L146" i="1"/>
  <c r="J146" i="1"/>
  <c r="O146" i="1"/>
  <c r="G147" i="1"/>
  <c r="I147" i="1"/>
  <c r="N146" i="1"/>
  <c r="P146" i="1" s="1"/>
  <c r="P145" i="1"/>
  <c r="F142" i="1" l="1"/>
  <c r="K141" i="1"/>
  <c r="M141" i="1" s="1"/>
  <c r="Q141" i="1" s="1"/>
  <c r="R141" i="1" s="1"/>
  <c r="J147" i="1"/>
  <c r="G148" i="1"/>
  <c r="L147" i="1"/>
  <c r="O147" i="1"/>
  <c r="I148" i="1"/>
  <c r="N147" i="1"/>
  <c r="P147" i="1" s="1"/>
  <c r="F143" i="1" l="1"/>
  <c r="K142" i="1"/>
  <c r="M142" i="1" s="1"/>
  <c r="Q142" i="1" s="1"/>
  <c r="R142" i="1" s="1"/>
  <c r="J148" i="1"/>
  <c r="G149" i="1"/>
  <c r="L148" i="1"/>
  <c r="O148" i="1"/>
  <c r="I149" i="1"/>
  <c r="N148" i="1"/>
  <c r="P148" i="1" s="1"/>
  <c r="K143" i="1" l="1"/>
  <c r="M143" i="1" s="1"/>
  <c r="Q143" i="1" s="1"/>
  <c r="R143" i="1" s="1"/>
  <c r="F144" i="1"/>
  <c r="N149" i="1"/>
  <c r="I150" i="1"/>
  <c r="O149" i="1"/>
  <c r="J149" i="1"/>
  <c r="G150" i="1"/>
  <c r="L149" i="1"/>
  <c r="F145" i="1" l="1"/>
  <c r="K144" i="1"/>
  <c r="M144" i="1" s="1"/>
  <c r="Q144" i="1" s="1"/>
  <c r="R144" i="1" s="1"/>
  <c r="I151" i="1"/>
  <c r="N150" i="1"/>
  <c r="L150" i="1"/>
  <c r="O150" i="1"/>
  <c r="J150" i="1"/>
  <c r="G151" i="1"/>
  <c r="P149" i="1"/>
  <c r="F146" i="1" l="1"/>
  <c r="K145" i="1"/>
  <c r="M145" i="1" s="1"/>
  <c r="Q145" i="1" s="1"/>
  <c r="R145" i="1" s="1"/>
  <c r="P150" i="1"/>
  <c r="J151" i="1"/>
  <c r="G152" i="1"/>
  <c r="L151" i="1"/>
  <c r="O151" i="1"/>
  <c r="I152" i="1"/>
  <c r="N151" i="1"/>
  <c r="P151" i="1" s="1"/>
  <c r="F147" i="1" l="1"/>
  <c r="K146" i="1"/>
  <c r="M146" i="1" s="1"/>
  <c r="Q146" i="1" s="1"/>
  <c r="R146" i="1" s="1"/>
  <c r="J152" i="1"/>
  <c r="G153" i="1"/>
  <c r="L152" i="1"/>
  <c r="O152" i="1"/>
  <c r="I153" i="1"/>
  <c r="N152" i="1"/>
  <c r="P152" i="1" s="1"/>
  <c r="K147" i="1" l="1"/>
  <c r="M147" i="1" s="1"/>
  <c r="Q147" i="1" s="1"/>
  <c r="R147" i="1" s="1"/>
  <c r="F148" i="1"/>
  <c r="O153" i="1"/>
  <c r="J153" i="1"/>
  <c r="G154" i="1"/>
  <c r="L153" i="1"/>
  <c r="N153" i="1"/>
  <c r="P153" i="1" s="1"/>
  <c r="I154" i="1"/>
  <c r="F149" i="1" l="1"/>
  <c r="K148" i="1"/>
  <c r="M148" i="1" s="1"/>
  <c r="Q148" i="1" s="1"/>
  <c r="R148" i="1" s="1"/>
  <c r="L154" i="1"/>
  <c r="O154" i="1"/>
  <c r="J154" i="1"/>
  <c r="G155" i="1"/>
  <c r="I155" i="1"/>
  <c r="N154" i="1"/>
  <c r="P154" i="1" s="1"/>
  <c r="F150" i="1" l="1"/>
  <c r="K149" i="1"/>
  <c r="M149" i="1" s="1"/>
  <c r="Q149" i="1" s="1"/>
  <c r="R149" i="1" s="1"/>
  <c r="I156" i="1"/>
  <c r="N155" i="1"/>
  <c r="J155" i="1"/>
  <c r="G156" i="1"/>
  <c r="L155" i="1"/>
  <c r="O155" i="1"/>
  <c r="K150" i="1" l="1"/>
  <c r="M150" i="1" s="1"/>
  <c r="Q150" i="1" s="1"/>
  <c r="R150" i="1" s="1"/>
  <c r="F151" i="1"/>
  <c r="G157" i="1"/>
  <c r="J156" i="1"/>
  <c r="L156" i="1"/>
  <c r="O156" i="1"/>
  <c r="P155" i="1"/>
  <c r="I157" i="1"/>
  <c r="N156" i="1"/>
  <c r="P156" i="1" s="1"/>
  <c r="F152" i="1" l="1"/>
  <c r="K151" i="1"/>
  <c r="M151" i="1" s="1"/>
  <c r="Q151" i="1" s="1"/>
  <c r="R151" i="1" s="1"/>
  <c r="N157" i="1"/>
  <c r="I158" i="1"/>
  <c r="O157" i="1"/>
  <c r="J157" i="1"/>
  <c r="G158" i="1"/>
  <c r="L157" i="1"/>
  <c r="F153" i="1" l="1"/>
  <c r="K152" i="1"/>
  <c r="M152" i="1" s="1"/>
  <c r="Q152" i="1" s="1"/>
  <c r="R152" i="1" s="1"/>
  <c r="I159" i="1"/>
  <c r="N158" i="1"/>
  <c r="L158" i="1"/>
  <c r="J158" i="1"/>
  <c r="O158" i="1"/>
  <c r="G159" i="1"/>
  <c r="P157" i="1"/>
  <c r="F154" i="1" l="1"/>
  <c r="K153" i="1"/>
  <c r="M153" i="1" s="1"/>
  <c r="Q153" i="1" s="1"/>
  <c r="R153" i="1" s="1"/>
  <c r="P158" i="1"/>
  <c r="I160" i="1"/>
  <c r="N160" i="1" s="1"/>
  <c r="N159" i="1"/>
  <c r="J159" i="1"/>
  <c r="G160" i="1"/>
  <c r="L159" i="1"/>
  <c r="O159" i="1"/>
  <c r="F155" i="1" l="1"/>
  <c r="K154" i="1"/>
  <c r="M154" i="1" s="1"/>
  <c r="Q154" i="1" s="1"/>
  <c r="R154" i="1" s="1"/>
  <c r="J160" i="1"/>
  <c r="L160" i="1"/>
  <c r="O160" i="1"/>
  <c r="P159" i="1"/>
  <c r="P160" i="1"/>
  <c r="K155" i="1" l="1"/>
  <c r="M155" i="1" s="1"/>
  <c r="Q155" i="1" s="1"/>
  <c r="R155" i="1" s="1"/>
  <c r="F156" i="1"/>
  <c r="F157" i="1" l="1"/>
  <c r="K156" i="1"/>
  <c r="M156" i="1" s="1"/>
  <c r="Q156" i="1" s="1"/>
  <c r="R156" i="1" s="1"/>
  <c r="F158" i="1" l="1"/>
  <c r="K157" i="1"/>
  <c r="M157" i="1" s="1"/>
  <c r="Q157" i="1" s="1"/>
  <c r="R157" i="1" s="1"/>
  <c r="K158" i="1" l="1"/>
  <c r="M158" i="1" s="1"/>
  <c r="Q158" i="1" s="1"/>
  <c r="R158" i="1" s="1"/>
  <c r="F159" i="1"/>
  <c r="F160" i="1" l="1"/>
  <c r="K160" i="1" s="1"/>
  <c r="M160" i="1" s="1"/>
  <c r="R160" i="1" s="1"/>
  <c r="K159" i="1"/>
  <c r="M159" i="1" s="1"/>
  <c r="Q159" i="1" s="1"/>
  <c r="R159" i="1" s="1"/>
</calcChain>
</file>

<file path=xl/sharedStrings.xml><?xml version="1.0" encoding="utf-8"?>
<sst xmlns="http://schemas.openxmlformats.org/spreadsheetml/2006/main" count="1611" uniqueCount="401">
  <si>
    <t>xy</t>
  </si>
  <si>
    <t>x^2</t>
  </si>
  <si>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Aptos Narrow"/>
        <family val="2"/>
      </rPr>
      <t>(xy)</t>
    </r>
  </si>
  <si>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Aptos Narrow"/>
        <family val="2"/>
      </rPr>
      <t>(x)</t>
    </r>
  </si>
  <si>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Aptos Narrow"/>
        <family val="2"/>
      </rPr>
      <t>(y)</t>
    </r>
  </si>
  <si>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Aptos Narrow"/>
        <family val="2"/>
      </rPr>
      <t>(x^2)</t>
    </r>
  </si>
  <si>
    <r>
      <rPr>
        <sz val="11"/>
        <color theme="1"/>
        <rFont val="Symbol"/>
        <family val="1"/>
        <charset val="2"/>
      </rPr>
      <t>(S</t>
    </r>
    <r>
      <rPr>
        <sz val="11"/>
        <color theme="1"/>
        <rFont val="Aptos Narrow"/>
        <family val="2"/>
      </rPr>
      <t>(x))^2</t>
    </r>
  </si>
  <si>
    <r>
      <rPr>
        <sz val="11"/>
        <color theme="1"/>
        <rFont val="Calibri"/>
        <family val="2"/>
      </rPr>
      <t>n</t>
    </r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Aptos Narrow"/>
        <family val="2"/>
      </rPr>
      <t>(xy)</t>
    </r>
  </si>
  <si>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Aptos Narrow"/>
        <family val="2"/>
      </rPr>
      <t xml:space="preserve">(x) </t>
    </r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Aptos Narrow"/>
        <family val="2"/>
      </rPr>
      <t>(y)</t>
    </r>
  </si>
  <si>
    <t>numerator</t>
  </si>
  <si>
    <r>
      <rPr>
        <sz val="11"/>
        <color theme="1"/>
        <rFont val="Calibri"/>
        <family val="2"/>
      </rPr>
      <t xml:space="preserve"> n</t>
    </r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Aptos Narrow"/>
        <family val="2"/>
      </rPr>
      <t>(x^2)</t>
    </r>
  </si>
  <si>
    <t>denominator</t>
  </si>
  <si>
    <t>Quotient</t>
  </si>
  <si>
    <t>cnt</t>
  </si>
  <si>
    <t>cnt_x_wgt_sum</t>
  </si>
  <si>
    <t xml:space="preserve"> 52 cnt_sum</t>
  </si>
  <si>
    <t xml:space="preserve"> wgt_sum</t>
  </si>
  <si>
    <t xml:space="preserve"> 52 cnt_sqr_sum</t>
  </si>
  <si>
    <t xml:space="preserve"> sqr_cnt_sum</t>
  </si>
  <si>
    <t xml:space="preserve"> numerator</t>
  </si>
  <si>
    <t xml:space="preserve"> slope</t>
  </si>
  <si>
    <t xml:space="preserve"> 0 slope_avg</t>
  </si>
  <si>
    <t>stdev</t>
  </si>
  <si>
    <t xml:space="preserve"> 162 cnt_sum</t>
  </si>
  <si>
    <t xml:space="preserve"> 107 cnt_sqr_sum</t>
  </si>
  <si>
    <t xml:space="preserve"> 1080 slope_avg</t>
  </si>
  <si>
    <t xml:space="preserve"> 336 cnt_sum</t>
  </si>
  <si>
    <t xml:space="preserve"> 165 cnt_sqr_sum</t>
  </si>
  <si>
    <t xml:space="preserve"> 576 cnt_sum</t>
  </si>
  <si>
    <t xml:space="preserve"> 225 cnt_sqr_sum</t>
  </si>
  <si>
    <t xml:space="preserve"> 972 slope_avg</t>
  </si>
  <si>
    <t xml:space="preserve"> 896 cnt_sum</t>
  </si>
  <si>
    <t xml:space="preserve"> 289 cnt_sqr_sum</t>
  </si>
  <si>
    <t xml:space="preserve"> 1044 slope_avg</t>
  </si>
  <si>
    <t xml:space="preserve"> 1304 cnt_sum</t>
  </si>
  <si>
    <t xml:space="preserve"> 357 cnt_sqr_sum</t>
  </si>
  <si>
    <t xml:space="preserve"> 1121 slope_avg</t>
  </si>
  <si>
    <t xml:space="preserve"> 1808 cnt_sum</t>
  </si>
  <si>
    <t xml:space="preserve"> 429 cnt_sqr_sum</t>
  </si>
  <si>
    <t xml:space="preserve"> 1182 slope_avg</t>
  </si>
  <si>
    <t xml:space="preserve"> 2408 cnt_sum</t>
  </si>
  <si>
    <t xml:space="preserve"> 504 cnt_sqr_sum</t>
  </si>
  <si>
    <t xml:space="preserve"> 1200 slope_avg</t>
  </si>
  <si>
    <t xml:space="preserve"> 3119 cnt_sum</t>
  </si>
  <si>
    <t xml:space="preserve"> 583 cnt_sqr_sum</t>
  </si>
  <si>
    <t xml:space="preserve"> 1224 slope_avg</t>
  </si>
  <si>
    <t xml:space="preserve"> 3939 cnt_sum</t>
  </si>
  <si>
    <t xml:space="preserve"> 665 cnt_sqr_sum</t>
  </si>
  <si>
    <t xml:space="preserve"> 1228 slope_avg</t>
  </si>
  <si>
    <t xml:space="preserve"> 4885 cnt_sum</t>
  </si>
  <si>
    <t xml:space="preserve"> 751 cnt_sqr_sum</t>
  </si>
  <si>
    <t xml:space="preserve"> 1240 slope_avg</t>
  </si>
  <si>
    <t xml:space="preserve"> 5941 cnt_sum</t>
  </si>
  <si>
    <t xml:space="preserve"> 839 cnt_sqr_sum</t>
  </si>
  <si>
    <t xml:space="preserve"> 1227 slope_avg</t>
  </si>
  <si>
    <t xml:space="preserve"> 7137 cnt_sum</t>
  </si>
  <si>
    <t xml:space="preserve"> 931 cnt_sqr_sum</t>
  </si>
  <si>
    <t xml:space="preserve"> 1226 slope_avg</t>
  </si>
  <si>
    <t xml:space="preserve"> 8495 cnt_sum</t>
  </si>
  <si>
    <t xml:space="preserve"> 1028 cnt_sqr_sum</t>
  </si>
  <si>
    <t xml:space="preserve"> 1242 slope_avg</t>
  </si>
  <si>
    <t xml:space="preserve"> 9995 cnt_sum</t>
  </si>
  <si>
    <t xml:space="preserve"> 1128 cnt_sqr_sum</t>
  </si>
  <si>
    <t xml:space="preserve"> 1248 slope_avg</t>
  </si>
  <si>
    <t xml:space="preserve"> 11611 cnt_sum</t>
  </si>
  <si>
    <t xml:space="preserve"> 1229 cnt_sqr_sum</t>
  </si>
  <si>
    <t xml:space="preserve"> 1233 slope_avg</t>
  </si>
  <si>
    <t xml:space="preserve"> 13311 cnt_sum</t>
  </si>
  <si>
    <t xml:space="preserve"> 1329 cnt_sqr_sum</t>
  </si>
  <si>
    <t xml:space="preserve"> 1191 slope_avg</t>
  </si>
  <si>
    <t xml:space="preserve"> 15201 cnt_sum</t>
  </si>
  <si>
    <t xml:space="preserve"> 1434 cnt_sqr_sum</t>
  </si>
  <si>
    <t xml:space="preserve"> 1172 slope_avg</t>
  </si>
  <si>
    <t xml:space="preserve"> 17310 cnt_sum</t>
  </si>
  <si>
    <t xml:space="preserve"> 1545 cnt_sqr_sum</t>
  </si>
  <si>
    <t xml:space="preserve"> 1174 slope_avg</t>
  </si>
  <si>
    <t xml:space="preserve"> 19570 cnt_sum</t>
  </si>
  <si>
    <t xml:space="preserve"> 1658 cnt_sqr_sum</t>
  </si>
  <si>
    <t xml:space="preserve"> 1169 slope_avg</t>
  </si>
  <si>
    <t xml:space="preserve"> 21985 cnt_sum</t>
  </si>
  <si>
    <t xml:space="preserve"> 1773 cnt_sqr_sum</t>
  </si>
  <si>
    <t xml:space="preserve"> 1160 slope_avg</t>
  </si>
  <si>
    <t xml:space="preserve"> 24603 cnt_sum</t>
  </si>
  <si>
    <t xml:space="preserve"> 1892 cnt_sqr_sum</t>
  </si>
  <si>
    <t xml:space="preserve"> 1156 slope_avg</t>
  </si>
  <si>
    <t xml:space="preserve"> 27455 cnt_sum</t>
  </si>
  <si>
    <t xml:space="preserve"> 2016 cnt_sqr_sum</t>
  </si>
  <si>
    <t xml:space="preserve"> 30455 cnt_sum</t>
  </si>
  <si>
    <t xml:space="preserve"> 2141 cnt_sqr_sum</t>
  </si>
  <si>
    <t xml:space="preserve"> 1155 slope_avg</t>
  </si>
  <si>
    <t xml:space="preserve"> 33080 cnt_sum</t>
  </si>
  <si>
    <t xml:space="preserve"> 2246 cnt_sqr_sum</t>
  </si>
  <si>
    <t xml:space="preserve"> 1075 slope_avg</t>
  </si>
  <si>
    <t xml:space="preserve"> 35966 cnt_sum</t>
  </si>
  <si>
    <t xml:space="preserve"> 2357 cnt_sqr_sum</t>
  </si>
  <si>
    <t xml:space="preserve"> 1020 slope_avg</t>
  </si>
  <si>
    <t xml:space="preserve"> 39665 cnt_sum</t>
  </si>
  <si>
    <t xml:space="preserve"> 2494 cnt_sqr_sum</t>
  </si>
  <si>
    <t xml:space="preserve"> 1043 slope_avg</t>
  </si>
  <si>
    <t xml:space="preserve"> 43585 cnt_sum</t>
  </si>
  <si>
    <t xml:space="preserve"> 2634 cnt_sqr_sum</t>
  </si>
  <si>
    <t xml:space="preserve"> 1062 slope_avg</t>
  </si>
  <si>
    <t xml:space="preserve"> 47065 cnt_sum</t>
  </si>
  <si>
    <t xml:space="preserve"> 2754 cnt_sqr_sum</t>
  </si>
  <si>
    <t xml:space="preserve"> 50245 cnt_sum</t>
  </si>
  <si>
    <t xml:space="preserve"> 2860 cnt_sqr_sum</t>
  </si>
  <si>
    <t xml:space="preserve"> 947 slope_avg</t>
  </si>
  <si>
    <t xml:space="preserve"> 54895 cnt_sum</t>
  </si>
  <si>
    <t xml:space="preserve"> 3010 cnt_sqr_sum</t>
  </si>
  <si>
    <t xml:space="preserve"> 977 slope_avg</t>
  </si>
  <si>
    <t xml:space="preserve"> 59887 cnt_sum</t>
  </si>
  <si>
    <t xml:space="preserve"> 3166 cnt_sqr_sum</t>
  </si>
  <si>
    <t xml:space="preserve"> 1009 slope_avg</t>
  </si>
  <si>
    <t xml:space="preserve"> 64771 cnt_sum</t>
  </si>
  <si>
    <t xml:space="preserve"> 3314 cnt_sqr_sum</t>
  </si>
  <si>
    <t xml:space="preserve"> 1014 slope_avg</t>
  </si>
  <si>
    <t xml:space="preserve"> 68579 cnt_sum</t>
  </si>
  <si>
    <t xml:space="preserve"> 3426 cnt_sqr_sum</t>
  </si>
  <si>
    <t xml:space="preserve"> 948 slope_avg</t>
  </si>
  <si>
    <t xml:space="preserve"> 73969 cnt_sum</t>
  </si>
  <si>
    <t xml:space="preserve"> 3580 cnt_sqr_sum</t>
  </si>
  <si>
    <t xml:space="preserve"> 960 slope_avg</t>
  </si>
  <si>
    <t xml:space="preserve"> 79909 cnt_sum</t>
  </si>
  <si>
    <t xml:space="preserve"> 3745 cnt_sqr_sum</t>
  </si>
  <si>
    <t xml:space="preserve"> 984 slope_avg</t>
  </si>
  <si>
    <t xml:space="preserve"> 85459 cnt_sum</t>
  </si>
  <si>
    <t xml:space="preserve"> 3895 cnt_sqr_sum</t>
  </si>
  <si>
    <t xml:space="preserve"> 91349 cnt_sum</t>
  </si>
  <si>
    <t xml:space="preserve"> 4050 cnt_sqr_sum</t>
  </si>
  <si>
    <t xml:space="preserve"> 974 slope_avg</t>
  </si>
  <si>
    <t xml:space="preserve"> 98369 cnt_sum</t>
  </si>
  <si>
    <t xml:space="preserve"> 4230 cnt_sqr_sum</t>
  </si>
  <si>
    <t xml:space="preserve"> 1003 slope_avg</t>
  </si>
  <si>
    <t xml:space="preserve"> 105329 cnt_sum</t>
  </si>
  <si>
    <t xml:space="preserve"> 4404 cnt_sqr_sum</t>
  </si>
  <si>
    <t xml:space="preserve"> 1016 slope_avg</t>
  </si>
  <si>
    <t xml:space="preserve"> 112422 cnt_sum</t>
  </si>
  <si>
    <t xml:space="preserve"> 4577 cnt_sqr_sum</t>
  </si>
  <si>
    <t xml:space="preserve"> 1022 slope_avg</t>
  </si>
  <si>
    <t xml:space="preserve"> 119394 cnt_sum</t>
  </si>
  <si>
    <t xml:space="preserve"> 4743 cnt_sqr_sum</t>
  </si>
  <si>
    <t xml:space="preserve"> 127564 cnt_sum</t>
  </si>
  <si>
    <t xml:space="preserve"> 4933 cnt_sqr_sum</t>
  </si>
  <si>
    <t xml:space="preserve"> 1034 slope_avg</t>
  </si>
  <si>
    <t xml:space="preserve"> 136100 cnt_sum</t>
  </si>
  <si>
    <t xml:space="preserve"> 5127 cnt_sqr_sum</t>
  </si>
  <si>
    <t xml:space="preserve"> 1052 slope_avg</t>
  </si>
  <si>
    <t xml:space="preserve"> 144380 cnt_sum</t>
  </si>
  <si>
    <t xml:space="preserve"> 5311 cnt_sqr_sum</t>
  </si>
  <si>
    <t xml:space="preserve"> 1054 slope_avg</t>
  </si>
  <si>
    <t xml:space="preserve"> 153350 cnt_sum</t>
  </si>
  <si>
    <t xml:space="preserve"> 5506 cnt_sqr_sum</t>
  </si>
  <si>
    <t xml:space="preserve"> 1063 slope_avg</t>
  </si>
  <si>
    <t xml:space="preserve"> 162139 cnt_sum</t>
  </si>
  <si>
    <t xml:space="preserve"> 5693 cnt_sqr_sum</t>
  </si>
  <si>
    <t xml:space="preserve"> 1061 slope_avg</t>
  </si>
  <si>
    <t xml:space="preserve"> 171307 cnt_sum</t>
  </si>
  <si>
    <t xml:space="preserve"> 5884 cnt_sqr_sum</t>
  </si>
  <si>
    <t xml:space="preserve"> 1060 slope_avg</t>
  </si>
  <si>
    <t xml:space="preserve"> 181744 cnt_sum</t>
  </si>
  <si>
    <t xml:space="preserve"> 6097 cnt_sqr_sum</t>
  </si>
  <si>
    <t xml:space="preserve"> 1077 slope_avg</t>
  </si>
  <si>
    <t xml:space="preserve"> 192644 cnt_sum</t>
  </si>
  <si>
    <t xml:space="preserve"> 6315 cnt_sqr_sum</t>
  </si>
  <si>
    <t xml:space="preserve"> 1092 slope_avg</t>
  </si>
  <si>
    <t xml:space="preserve"> 203507 cnt_sum</t>
  </si>
  <si>
    <t xml:space="preserve"> 6528 cnt_sqr_sum</t>
  </si>
  <si>
    <t xml:space="preserve"> 1100 slope_avg</t>
  </si>
  <si>
    <t xml:space="preserve"> 213855 cnt_sum</t>
  </si>
  <si>
    <t xml:space="preserve"> 6727 cnt_sqr_sum</t>
  </si>
  <si>
    <t xml:space="preserve"> 1093 slope_avg</t>
  </si>
  <si>
    <t xml:space="preserve"> 225674 cnt_sum</t>
  </si>
  <si>
    <t xml:space="preserve"> 6950 cnt_sqr_sum</t>
  </si>
  <si>
    <t xml:space="preserve"> 1103 slope_avg</t>
  </si>
  <si>
    <t xml:space="preserve"> 238040 cnt_sum</t>
  </si>
  <si>
    <t xml:space="preserve"> 7179 cnt_sqr_sum</t>
  </si>
  <si>
    <t xml:space="preserve"> 1114 slope_avg</t>
  </si>
  <si>
    <t xml:space="preserve"> 250910 cnt_sum</t>
  </si>
  <si>
    <t xml:space="preserve"> 7413 cnt_sqr_sum</t>
  </si>
  <si>
    <t xml:space="preserve"> 1125 slope_avg</t>
  </si>
  <si>
    <t xml:space="preserve"> 264406 cnt_sum</t>
  </si>
  <si>
    <t xml:space="preserve"> 7654 cnt_sqr_sum</t>
  </si>
  <si>
    <t xml:space="preserve"> 1138 slope_avg</t>
  </si>
  <si>
    <t xml:space="preserve"> 278029 cnt_sum</t>
  </si>
  <si>
    <t xml:space="preserve"> 7893 cnt_sqr_sum</t>
  </si>
  <si>
    <t xml:space="preserve"> 1146 slope_avg</t>
  </si>
  <si>
    <t xml:space="preserve"> 290615 cnt_sum</t>
  </si>
  <si>
    <t xml:space="preserve"> 8110 cnt_sqr_sum</t>
  </si>
  <si>
    <t xml:space="preserve"> 1137 slope_avg</t>
  </si>
  <si>
    <t xml:space="preserve"> 304303 cnt_sum</t>
  </si>
  <si>
    <t xml:space="preserve"> 8342 cnt_sqr_sum</t>
  </si>
  <si>
    <t xml:space="preserve"> 319303 cnt_sum</t>
  </si>
  <si>
    <t xml:space="preserve"> 8592 cnt_sqr_sum</t>
  </si>
  <si>
    <t xml:space="preserve"> 1145 slope_avg</t>
  </si>
  <si>
    <t xml:space="preserve"> 334736 cnt_sum</t>
  </si>
  <si>
    <t xml:space="preserve"> 8845 cnt_sqr_sum</t>
  </si>
  <si>
    <t xml:space="preserve"> 1152 slope_avg</t>
  </si>
  <si>
    <t xml:space="preserve"> 349430 cnt_sum</t>
  </si>
  <si>
    <t xml:space="preserve"> 9082 cnt_sqr_sum</t>
  </si>
  <si>
    <t xml:space="preserve"> 1148 slope_avg</t>
  </si>
  <si>
    <t xml:space="preserve"> 363983 cnt_sum</t>
  </si>
  <si>
    <t xml:space="preserve"> 9313 cnt_sqr_sum</t>
  </si>
  <si>
    <t xml:space="preserve"> 1139 slope_avg</t>
  </si>
  <si>
    <t xml:space="preserve"> 380751 cnt_sum</t>
  </si>
  <si>
    <t xml:space="preserve"> 9575 cnt_sqr_sum</t>
  </si>
  <si>
    <t xml:space="preserve"> 398106 cnt_sum</t>
  </si>
  <si>
    <t xml:space="preserve"> 9842 cnt_sqr_sum</t>
  </si>
  <si>
    <t xml:space="preserve"> 1153 slope_avg</t>
  </si>
  <si>
    <t xml:space="preserve"> 415926 cnt_sum</t>
  </si>
  <si>
    <t xml:space="preserve"> 10112 cnt_sqr_sum</t>
  </si>
  <si>
    <t xml:space="preserve"> 1159 slope_avg</t>
  </si>
  <si>
    <t xml:space="preserve"> 434217 cnt_sum</t>
  </si>
  <si>
    <t xml:space="preserve"> 10385 cnt_sqr_sum</t>
  </si>
  <si>
    <t xml:space="preserve"> 1165 slope_avg</t>
  </si>
  <si>
    <t xml:space="preserve"> 452645 cnt_sum</t>
  </si>
  <si>
    <t xml:space="preserve"> 10656 cnt_sqr_sum</t>
  </si>
  <si>
    <t xml:space="preserve"> 1168 slope_avg</t>
  </si>
  <si>
    <t xml:space="preserve"> 471827 cnt_sum</t>
  </si>
  <si>
    <t xml:space="preserve"> 10934 cnt_sqr_sum</t>
  </si>
  <si>
    <t xml:space="preserve"> 490097 cnt_sum</t>
  </si>
  <si>
    <t xml:space="preserve"> 11195 cnt_sqr_sum</t>
  </si>
  <si>
    <t xml:space="preserve"> 1167 slope_avg</t>
  </si>
  <si>
    <t xml:space="preserve"> 509338 cnt_sum</t>
  </si>
  <si>
    <t xml:space="preserve"> 11466 cnt_sqr_sum</t>
  </si>
  <si>
    <t xml:space="preserve"> 530218 cnt_sum</t>
  </si>
  <si>
    <t xml:space="preserve"> 11756 cnt_sqr_sum</t>
  </si>
  <si>
    <t xml:space="preserve"> 1170 slope_avg</t>
  </si>
  <si>
    <t xml:space="preserve"> 551753 cnt_sum</t>
  </si>
  <si>
    <t xml:space="preserve"> 12051 cnt_sqr_sum</t>
  </si>
  <si>
    <t xml:space="preserve"> 1175 slope_avg</t>
  </si>
  <si>
    <t xml:space="preserve"> 572769 cnt_sum</t>
  </si>
  <si>
    <t xml:space="preserve"> 12335 cnt_sqr_sum</t>
  </si>
  <si>
    <t xml:space="preserve"> 593319 cnt_sum</t>
  </si>
  <si>
    <t xml:space="preserve"> 12609 cnt_sqr_sum</t>
  </si>
  <si>
    <t xml:space="preserve"> 615967 cnt_sum</t>
  </si>
  <si>
    <t xml:space="preserve"> 12907 cnt_sqr_sum</t>
  </si>
  <si>
    <t xml:space="preserve"> 1171 slope_avg</t>
  </si>
  <si>
    <t xml:space="preserve"> 639606 cnt_sum</t>
  </si>
  <si>
    <t xml:space="preserve"> 13214 cnt_sqr_sum</t>
  </si>
  <si>
    <t xml:space="preserve"> 1176 slope_avg</t>
  </si>
  <si>
    <t xml:space="preserve"> 663942 cnt_sum</t>
  </si>
  <si>
    <t xml:space="preserve"> 13526 cnt_sqr_sum</t>
  </si>
  <si>
    <t xml:space="preserve"> 1180 slope_avg</t>
  </si>
  <si>
    <t xml:space="preserve"> 688906 cnt_sum</t>
  </si>
  <si>
    <t xml:space="preserve"> 13842 cnt_sqr_sum</t>
  </si>
  <si>
    <t xml:space="preserve"> 1185 slope_avg</t>
  </si>
  <si>
    <t xml:space="preserve"> 714426 cnt_sum</t>
  </si>
  <si>
    <t xml:space="preserve"> 14161 cnt_sqr_sum</t>
  </si>
  <si>
    <t xml:space="preserve"> 1189 slope_avg</t>
  </si>
  <si>
    <t xml:space="preserve"> 740589 cnt_sum</t>
  </si>
  <si>
    <t xml:space="preserve"> 14484 cnt_sqr_sum</t>
  </si>
  <si>
    <t xml:space="preserve"> 1193 slope_avg</t>
  </si>
  <si>
    <t xml:space="preserve"> 767239 cnt_sum</t>
  </si>
  <si>
    <t xml:space="preserve"> 14809 cnt_sqr_sum</t>
  </si>
  <si>
    <t xml:space="preserve"> 1196 slope_avg</t>
  </si>
  <si>
    <t xml:space="preserve"> 794463 cnt_sum</t>
  </si>
  <si>
    <t xml:space="preserve"> 15137 cnt_sqr_sum</t>
  </si>
  <si>
    <t xml:space="preserve"> 1199 slope_avg</t>
  </si>
  <si>
    <t xml:space="preserve"> 822183 cnt_sum</t>
  </si>
  <si>
    <t xml:space="preserve"> 15467 cnt_sqr_sum</t>
  </si>
  <si>
    <t xml:space="preserve"> 1201 slope_avg</t>
  </si>
  <si>
    <t xml:space="preserve"> 850403 cnt_sum</t>
  </si>
  <si>
    <t xml:space="preserve"> 15799 cnt_sqr_sum</t>
  </si>
  <si>
    <t xml:space="preserve"> 1203 slope_avg</t>
  </si>
  <si>
    <t xml:space="preserve"> 879299 cnt_sum</t>
  </si>
  <si>
    <t xml:space="preserve"> 16135 cnt_sqr_sum</t>
  </si>
  <si>
    <t xml:space="preserve"> 1205 slope_avg</t>
  </si>
  <si>
    <t xml:space="preserve"> 907400 cnt_sum</t>
  </si>
  <si>
    <t xml:space="preserve"> 16458 cnt_sqr_sum</t>
  </si>
  <si>
    <t xml:space="preserve"> 1202 slope_avg</t>
  </si>
  <si>
    <t xml:space="preserve"> 934944 cnt_sum</t>
  </si>
  <si>
    <t xml:space="preserve"> 16771 cnt_sqr_sum</t>
  </si>
  <si>
    <t xml:space="preserve"> 1195 slope_avg</t>
  </si>
  <si>
    <t xml:space="preserve"> 965204 cnt_sum</t>
  </si>
  <si>
    <t xml:space="preserve"> 17111 cnt_sqr_sum</t>
  </si>
  <si>
    <t xml:space="preserve"> 996344 cnt_sum</t>
  </si>
  <si>
    <t xml:space="preserve"> 17457 cnt_sqr_sum</t>
  </si>
  <si>
    <t xml:space="preserve"> 1197 slope_avg</t>
  </si>
  <si>
    <t xml:space="preserve"> 1026374 cnt_sum</t>
  </si>
  <si>
    <t xml:space="preserve"> 17787 cnt_sqr_sum</t>
  </si>
  <si>
    <t xml:space="preserve"> 1058942 cnt_sum</t>
  </si>
  <si>
    <t xml:space="preserve"> 18141 cnt_sqr_sum</t>
  </si>
  <si>
    <t xml:space="preserve"> 1092422 cnt_sum</t>
  </si>
  <si>
    <t xml:space="preserve"> 18501 cnt_sqr_sum</t>
  </si>
  <si>
    <t xml:space="preserve"> 1126544 cnt_sum</t>
  </si>
  <si>
    <t xml:space="preserve"> 18864 cnt_sqr_sum</t>
  </si>
  <si>
    <t xml:space="preserve"> 1161409 cnt_sum</t>
  </si>
  <si>
    <t xml:space="preserve"> 19231 cnt_sqr_sum</t>
  </si>
  <si>
    <t xml:space="preserve"> 1197217 cnt_sum</t>
  </si>
  <si>
    <t xml:space="preserve"> 19604 cnt_sqr_sum</t>
  </si>
  <si>
    <t xml:space="preserve"> 1233689 cnt_sum</t>
  </si>
  <si>
    <t xml:space="preserve"> 19980 cnt_sqr_sum</t>
  </si>
  <si>
    <t xml:space="preserve"> 1270831 cnt_sum</t>
  </si>
  <si>
    <t xml:space="preserve"> 20359 cnt_sqr_sum</t>
  </si>
  <si>
    <t xml:space="preserve"> 1207 slope_avg</t>
  </si>
  <si>
    <t xml:space="preserve"> 1308451 cnt_sum</t>
  </si>
  <si>
    <t xml:space="preserve"> 20739 cnt_sqr_sum</t>
  </si>
  <si>
    <t xml:space="preserve"> 1208 slope_avg</t>
  </si>
  <si>
    <t xml:space="preserve"> 1346551 cnt_sum</t>
  </si>
  <si>
    <t xml:space="preserve"> 21120 cnt_sqr_sum</t>
  </si>
  <si>
    <t xml:space="preserve"> 1209 slope_avg</t>
  </si>
  <si>
    <t xml:space="preserve"> 1385941 cnt_sum</t>
  </si>
  <si>
    <t xml:space="preserve"> 21510 cnt_sqr_sum</t>
  </si>
  <si>
    <t xml:space="preserve"> 1211 slope_avg</t>
  </si>
  <si>
    <t xml:space="preserve"> 1425925 cnt_sum</t>
  </si>
  <si>
    <t xml:space="preserve"> 21902 cnt_sqr_sum</t>
  </si>
  <si>
    <t xml:space="preserve"> 1213 slope_avg</t>
  </si>
  <si>
    <t xml:space="preserve"> 1466816 cnt_sum</t>
  </si>
  <si>
    <t xml:space="preserve"> 22299 cnt_sqr_sum</t>
  </si>
  <si>
    <t xml:space="preserve"> 1214 slope_avg</t>
  </si>
  <si>
    <t xml:space="preserve"> 1508312 cnt_sum</t>
  </si>
  <si>
    <t xml:space="preserve"> 22698 cnt_sqr_sum</t>
  </si>
  <si>
    <t xml:space="preserve"> 1216 slope_avg</t>
  </si>
  <si>
    <t xml:space="preserve"> 1549472 cnt_sum</t>
  </si>
  <si>
    <t xml:space="preserve"> 23090 cnt_sqr_sum</t>
  </si>
  <si>
    <t xml:space="preserve"> 1215 slope_avg</t>
  </si>
  <si>
    <t xml:space="preserve"> 1588480 cnt_sum</t>
  </si>
  <si>
    <t xml:space="preserve"> 23458 cnt_sqr_sum</t>
  </si>
  <si>
    <t xml:space="preserve"> 1631066 cnt_sum</t>
  </si>
  <si>
    <t xml:space="preserve"> 23856 cnt_sqr_sum</t>
  </si>
  <si>
    <t xml:space="preserve"> 1675238 cnt_sum</t>
  </si>
  <si>
    <t xml:space="preserve"> 24265 cnt_sqr_sum</t>
  </si>
  <si>
    <t xml:space="preserve"> 1720146 cnt_sum</t>
  </si>
  <si>
    <t xml:space="preserve"> 24677 cnt_sqr_sum</t>
  </si>
  <si>
    <t xml:space="preserve"> 1210 slope_avg</t>
  </si>
  <si>
    <t xml:space="preserve"> 1763266 cnt_sum</t>
  </si>
  <si>
    <t xml:space="preserve"> 25069 cnt_sqr_sum</t>
  </si>
  <si>
    <t xml:space="preserve"> 1808554 cnt_sum</t>
  </si>
  <si>
    <t xml:space="preserve"> 25477 cnt_sqr_sum</t>
  </si>
  <si>
    <t xml:space="preserve"> 1206 slope_avg</t>
  </si>
  <si>
    <t xml:space="preserve"> 1856154 cnt_sum</t>
  </si>
  <si>
    <t xml:space="preserve"> 25902 cnt_sqr_sum</t>
  </si>
  <si>
    <t xml:space="preserve"> 1904631 cnt_sum</t>
  </si>
  <si>
    <t xml:space="preserve"> 26331 cnt_sqr_sum</t>
  </si>
  <si>
    <t xml:space="preserve"> 1953765 cnt_sum</t>
  </si>
  <si>
    <t xml:space="preserve"> 26762 cnt_sqr_sum</t>
  </si>
  <si>
    <t xml:space="preserve"> 2003675 cnt_sum</t>
  </si>
  <si>
    <t xml:space="preserve"> 27196 cnt_sqr_sum</t>
  </si>
  <si>
    <t xml:space="preserve"> 2054251 cnt_sum</t>
  </si>
  <si>
    <t xml:space="preserve"> 27632 cnt_sqr_sum</t>
  </si>
  <si>
    <t xml:space="preserve"> 2105614 cnt_sum</t>
  </si>
  <si>
    <t xml:space="preserve"> 28071 cnt_sqr_sum</t>
  </si>
  <si>
    <t xml:space="preserve"> 1212 slope_avg</t>
  </si>
  <si>
    <t xml:space="preserve"> 2156708 cnt_sum</t>
  </si>
  <si>
    <t xml:space="preserve"> 28504 cnt_sqr_sum</t>
  </si>
  <si>
    <t xml:space="preserve"> 2209901 cnt_sum</t>
  </si>
  <si>
    <t xml:space="preserve"> 28951 cnt_sqr_sum</t>
  </si>
  <si>
    <t xml:space="preserve"> 2264501 cnt_sum</t>
  </si>
  <si>
    <t xml:space="preserve"> 29406 cnt_sqr_sum</t>
  </si>
  <si>
    <t xml:space="preserve"> 2319919 cnt_sum</t>
  </si>
  <si>
    <t xml:space="preserve"> 29864 cnt_sqr_sum</t>
  </si>
  <si>
    <t xml:space="preserve"> 2376283 cnt_sum</t>
  </si>
  <si>
    <t xml:space="preserve"> 30326 cnt_sqr_sum</t>
  </si>
  <si>
    <t xml:space="preserve"> 2432740 cnt_sum</t>
  </si>
  <si>
    <t xml:space="preserve"> 30785 cnt_sqr_sum</t>
  </si>
  <si>
    <t xml:space="preserve"> 2487176 cnt_sum</t>
  </si>
  <si>
    <t xml:space="preserve"> 31224 cnt_sqr_sum</t>
  </si>
  <si>
    <t xml:space="preserve"> 2544676 cnt_sum</t>
  </si>
  <si>
    <t xml:space="preserve"> 31684 cnt_sqr_sum</t>
  </si>
  <si>
    <t xml:space="preserve"> 2604022 cnt_sum</t>
  </si>
  <si>
    <t xml:space="preserve"> 32155 cnt_sqr_sum</t>
  </si>
  <si>
    <t xml:space="preserve"> 2664347 cnt_sum</t>
  </si>
  <si>
    <t xml:space="preserve"> 32630 cnt_sqr_sum</t>
  </si>
  <si>
    <t xml:space="preserve"> 2722203 cnt_sum</t>
  </si>
  <si>
    <t xml:space="preserve"> 33082 cnt_sqr_sum</t>
  </si>
  <si>
    <t xml:space="preserve"> 2782188 cnt_sum</t>
  </si>
  <si>
    <t xml:space="preserve"> 33547 cnt_sqr_sum</t>
  </si>
  <si>
    <t xml:space="preserve"> 2844848 cnt_sum</t>
  </si>
  <si>
    <t xml:space="preserve"> 34029 cnt_sqr_sum</t>
  </si>
  <si>
    <t xml:space="preserve"> 2907859 cnt_sum</t>
  </si>
  <si>
    <t xml:space="preserve"> 34510 cnt_sqr_sum</t>
  </si>
  <si>
    <t xml:space="preserve"> 2972275 cnt_sum</t>
  </si>
  <si>
    <t xml:space="preserve"> 34998 cnt_sqr_sum</t>
  </si>
  <si>
    <t xml:space="preserve"> 3037445 cnt_sum</t>
  </si>
  <si>
    <t xml:space="preserve"> 35488 cnt_sqr_sum</t>
  </si>
  <si>
    <t xml:space="preserve"> 3103641 cnt_sum</t>
  </si>
  <si>
    <t xml:space="preserve"> 35982 cnt_sqr_sum</t>
  </si>
  <si>
    <t xml:space="preserve"> 3170736 cnt_sum</t>
  </si>
  <si>
    <t xml:space="preserve"> 36479 cnt_sqr_sum</t>
  </si>
  <si>
    <t xml:space="preserve"> 3236696 cnt_sum</t>
  </si>
  <si>
    <t xml:space="preserve"> 36964 cnt_sqr_sum</t>
  </si>
  <si>
    <t xml:space="preserve"> 3304237 cnt_sum</t>
  </si>
  <si>
    <t xml:space="preserve"> 37457 cnt_sqr_sum</t>
  </si>
  <si>
    <t xml:space="preserve"> 3374893 cnt_sum</t>
  </si>
  <si>
    <t xml:space="preserve"> 37969 cnt_sqr_sum</t>
  </si>
  <si>
    <t xml:space="preserve"> 3446339 cnt_sum</t>
  </si>
  <si>
    <t xml:space="preserve"> 38483 cnt_sqr_sum</t>
  </si>
  <si>
    <t xml:space="preserve"> 3518999 cnt_sum</t>
  </si>
  <si>
    <t xml:space="preserve"> 39002 cnt_sqr_sum</t>
  </si>
  <si>
    <t xml:space="preserve"> 3592460 cnt_sum</t>
  </si>
  <si>
    <t xml:space="preserve"> 39523 cnt_sqr_sum</t>
  </si>
  <si>
    <t xml:space="preserve"> 3665306 cnt_sum</t>
  </si>
  <si>
    <t xml:space="preserve"> 40036 cnt_sqr_sum</t>
  </si>
  <si>
    <t xml:space="preserve"> 3735233 cnt_sum</t>
  </si>
  <si>
    <t xml:space="preserve"> 40525 cnt_sqr_sum</t>
  </si>
  <si>
    <t xml:space="preserve"> 3809825 cnt_sum</t>
  </si>
  <si>
    <t xml:space="preserve"> 41043 cnt_sqr_sum</t>
  </si>
  <si>
    <t xml:space="preserve"> 3886820 cnt_sum</t>
  </si>
  <si>
    <t xml:space="preserve"> 41574 cnt_sqr_sum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</si>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</sst>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1"/>
      <charset val="2"/>
    </font>
    <font>
      <sz val="11"/>
      <color theme="1"/>
      <name val="Symbol"/>
      <family val="1"/>
      <charset val="2"/>
    </font>
    <font>
      <sz val="11"/>
      <color theme="1"/>
      <name val="Aptos Narrow"/>
      <family val="2"/>
    </font>
    <font>
      <sz val="11"/>
      <color theme="1"/>
      <name val="Aptos Narrow"/>
      <family val="2"/>
      <charset val="2"/>
    </font>
    <font>
      <sz val="11"/>
      <color theme="1"/>
      <name val="Calibri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5" fillId="0" borderId="0" xfId="0" applyFont="1"/>
    <xf numFmtId="0" fontId="6" fillId="0" borderId="0" xfId="0" applyFont="1"/>
    <xf numFmtId="164" fontId="0" fillId="0" borderId="0" xfId="1" applyNumberFormat="1" applyFont="1"/>
    <xf numFmtId="0" fontId="7" fillId="0" borderId="0" xfId="0" applyFont="1" applyAlignment="1">
      <alignment horizontal="centerContinuous"/>
    </xf>
    <xf numFmtId="0" fontId="7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Sheet1!$C$47:$C$191</c:f>
              <c:numCache>
                <c:formatCode>_(* #,##0_);_(* \(#,##0\);_(* "-"??_);_(@_)</c:formatCode>
                <c:ptCount val="145"/>
                <c:pt idx="0">
                  <c:v>52</c:v>
                </c:pt>
                <c:pt idx="1">
                  <c:v>55</c:v>
                </c:pt>
                <c:pt idx="2">
                  <c:v>58</c:v>
                </c:pt>
                <c:pt idx="3">
                  <c:v>60</c:v>
                </c:pt>
                <c:pt idx="4">
                  <c:v>64</c:v>
                </c:pt>
                <c:pt idx="5">
                  <c:v>68</c:v>
                </c:pt>
                <c:pt idx="6">
                  <c:v>72</c:v>
                </c:pt>
                <c:pt idx="7">
                  <c:v>75</c:v>
                </c:pt>
                <c:pt idx="8">
                  <c:v>79</c:v>
                </c:pt>
                <c:pt idx="9">
                  <c:v>82</c:v>
                </c:pt>
                <c:pt idx="10">
                  <c:v>86</c:v>
                </c:pt>
                <c:pt idx="11">
                  <c:v>88</c:v>
                </c:pt>
                <c:pt idx="12">
                  <c:v>92</c:v>
                </c:pt>
                <c:pt idx="13">
                  <c:v>97</c:v>
                </c:pt>
                <c:pt idx="14">
                  <c:v>100</c:v>
                </c:pt>
                <c:pt idx="15">
                  <c:v>101</c:v>
                </c:pt>
                <c:pt idx="16">
                  <c:v>100</c:v>
                </c:pt>
                <c:pt idx="17">
                  <c:v>105</c:v>
                </c:pt>
                <c:pt idx="18">
                  <c:v>111</c:v>
                </c:pt>
                <c:pt idx="19">
                  <c:v>113</c:v>
                </c:pt>
                <c:pt idx="20">
                  <c:v>115</c:v>
                </c:pt>
                <c:pt idx="21">
                  <c:v>119</c:v>
                </c:pt>
                <c:pt idx="22">
                  <c:v>124</c:v>
                </c:pt>
                <c:pt idx="23">
                  <c:v>125</c:v>
                </c:pt>
                <c:pt idx="24">
                  <c:v>105</c:v>
                </c:pt>
                <c:pt idx="25">
                  <c:v>111</c:v>
                </c:pt>
                <c:pt idx="26">
                  <c:v>137</c:v>
                </c:pt>
                <c:pt idx="27">
                  <c:v>140</c:v>
                </c:pt>
                <c:pt idx="28">
                  <c:v>120</c:v>
                </c:pt>
                <c:pt idx="29">
                  <c:v>106</c:v>
                </c:pt>
                <c:pt idx="30">
                  <c:v>150</c:v>
                </c:pt>
                <c:pt idx="31">
                  <c:v>156</c:v>
                </c:pt>
                <c:pt idx="32">
                  <c:v>148</c:v>
                </c:pt>
                <c:pt idx="33">
                  <c:v>112</c:v>
                </c:pt>
                <c:pt idx="34">
                  <c:v>154</c:v>
                </c:pt>
                <c:pt idx="35">
                  <c:v>165</c:v>
                </c:pt>
                <c:pt idx="36">
                  <c:v>150</c:v>
                </c:pt>
                <c:pt idx="37">
                  <c:v>155</c:v>
                </c:pt>
                <c:pt idx="38">
                  <c:v>180</c:v>
                </c:pt>
                <c:pt idx="39">
                  <c:v>174</c:v>
                </c:pt>
                <c:pt idx="40">
                  <c:v>173</c:v>
                </c:pt>
                <c:pt idx="41">
                  <c:v>166</c:v>
                </c:pt>
                <c:pt idx="42">
                  <c:v>190</c:v>
                </c:pt>
                <c:pt idx="43">
                  <c:v>194</c:v>
                </c:pt>
                <c:pt idx="44">
                  <c:v>184</c:v>
                </c:pt>
                <c:pt idx="45">
                  <c:v>195</c:v>
                </c:pt>
                <c:pt idx="46">
                  <c:v>187</c:v>
                </c:pt>
                <c:pt idx="47">
                  <c:v>191</c:v>
                </c:pt>
                <c:pt idx="48">
                  <c:v>213</c:v>
                </c:pt>
                <c:pt idx="49">
                  <c:v>218</c:v>
                </c:pt>
                <c:pt idx="50">
                  <c:v>213</c:v>
                </c:pt>
                <c:pt idx="51">
                  <c:v>199</c:v>
                </c:pt>
                <c:pt idx="52">
                  <c:v>223</c:v>
                </c:pt>
                <c:pt idx="53">
                  <c:v>229</c:v>
                </c:pt>
                <c:pt idx="54">
                  <c:v>234</c:v>
                </c:pt>
                <c:pt idx="55">
                  <c:v>241</c:v>
                </c:pt>
                <c:pt idx="56">
                  <c:v>239</c:v>
                </c:pt>
                <c:pt idx="57">
                  <c:v>217</c:v>
                </c:pt>
                <c:pt idx="58">
                  <c:v>232</c:v>
                </c:pt>
                <c:pt idx="59">
                  <c:v>250</c:v>
                </c:pt>
                <c:pt idx="60">
                  <c:v>253</c:v>
                </c:pt>
                <c:pt idx="61">
                  <c:v>237</c:v>
                </c:pt>
                <c:pt idx="62">
                  <c:v>231</c:v>
                </c:pt>
                <c:pt idx="63">
                  <c:v>262</c:v>
                </c:pt>
                <c:pt idx="64">
                  <c:v>267</c:v>
                </c:pt>
                <c:pt idx="65">
                  <c:v>270</c:v>
                </c:pt>
                <c:pt idx="66">
                  <c:v>273</c:v>
                </c:pt>
                <c:pt idx="67">
                  <c:v>271</c:v>
                </c:pt>
                <c:pt idx="68">
                  <c:v>278</c:v>
                </c:pt>
                <c:pt idx="69">
                  <c:v>261</c:v>
                </c:pt>
                <c:pt idx="70">
                  <c:v>271</c:v>
                </c:pt>
                <c:pt idx="71">
                  <c:v>290</c:v>
                </c:pt>
                <c:pt idx="72">
                  <c:v>295</c:v>
                </c:pt>
                <c:pt idx="73">
                  <c:v>284</c:v>
                </c:pt>
                <c:pt idx="74">
                  <c:v>274</c:v>
                </c:pt>
                <c:pt idx="75">
                  <c:v>298</c:v>
                </c:pt>
                <c:pt idx="76">
                  <c:v>307</c:v>
                </c:pt>
                <c:pt idx="77">
                  <c:v>312</c:v>
                </c:pt>
                <c:pt idx="78">
                  <c:v>316</c:v>
                </c:pt>
                <c:pt idx="79">
                  <c:v>319</c:v>
                </c:pt>
                <c:pt idx="80">
                  <c:v>323</c:v>
                </c:pt>
                <c:pt idx="81">
                  <c:v>325</c:v>
                </c:pt>
                <c:pt idx="82">
                  <c:v>328</c:v>
                </c:pt>
                <c:pt idx="83">
                  <c:v>330</c:v>
                </c:pt>
                <c:pt idx="84">
                  <c:v>332</c:v>
                </c:pt>
                <c:pt idx="85">
                  <c:v>336</c:v>
                </c:pt>
                <c:pt idx="86">
                  <c:v>323</c:v>
                </c:pt>
                <c:pt idx="87">
                  <c:v>313</c:v>
                </c:pt>
                <c:pt idx="88">
                  <c:v>340</c:v>
                </c:pt>
                <c:pt idx="89">
                  <c:v>346</c:v>
                </c:pt>
                <c:pt idx="90">
                  <c:v>330</c:v>
                </c:pt>
                <c:pt idx="91">
                  <c:v>354</c:v>
                </c:pt>
                <c:pt idx="92">
                  <c:v>360</c:v>
                </c:pt>
                <c:pt idx="93">
                  <c:v>363</c:v>
                </c:pt>
                <c:pt idx="94">
                  <c:v>367</c:v>
                </c:pt>
                <c:pt idx="95">
                  <c:v>373</c:v>
                </c:pt>
                <c:pt idx="96">
                  <c:v>376</c:v>
                </c:pt>
                <c:pt idx="97">
                  <c:v>379</c:v>
                </c:pt>
                <c:pt idx="98">
                  <c:v>380</c:v>
                </c:pt>
                <c:pt idx="99">
                  <c:v>381</c:v>
                </c:pt>
                <c:pt idx="100">
                  <c:v>390</c:v>
                </c:pt>
                <c:pt idx="101">
                  <c:v>392</c:v>
                </c:pt>
                <c:pt idx="102">
                  <c:v>397</c:v>
                </c:pt>
                <c:pt idx="103">
                  <c:v>399</c:v>
                </c:pt>
                <c:pt idx="104">
                  <c:v>392</c:v>
                </c:pt>
                <c:pt idx="105">
                  <c:v>368</c:v>
                </c:pt>
                <c:pt idx="106">
                  <c:v>398</c:v>
                </c:pt>
                <c:pt idx="107">
                  <c:v>409</c:v>
                </c:pt>
                <c:pt idx="108">
                  <c:v>412</c:v>
                </c:pt>
                <c:pt idx="109">
                  <c:v>392</c:v>
                </c:pt>
                <c:pt idx="110">
                  <c:v>408</c:v>
                </c:pt>
                <c:pt idx="111">
                  <c:v>425</c:v>
                </c:pt>
                <c:pt idx="112">
                  <c:v>429</c:v>
                </c:pt>
                <c:pt idx="113">
                  <c:v>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9F-46BA-973F-51268CC33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936976"/>
        <c:axId val="2088459536"/>
      </c:lineChart>
      <c:catAx>
        <c:axId val="94936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459536"/>
        <c:crosses val="autoZero"/>
        <c:auto val="1"/>
        <c:lblAlgn val="ctr"/>
        <c:lblOffset val="100"/>
        <c:noMultiLvlLbl val="0"/>
      </c:catAx>
      <c:valAx>
        <c:axId val="208845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3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Sheet1!$S$48:$S$191</c:f>
              <c:numCache>
                <c:formatCode>General</c:formatCode>
                <c:ptCount val="144"/>
                <c:pt idx="0">
                  <c:v>43</c:v>
                </c:pt>
                <c:pt idx="1">
                  <c:v>86</c:v>
                </c:pt>
                <c:pt idx="2">
                  <c:v>125</c:v>
                </c:pt>
                <c:pt idx="3">
                  <c:v>167</c:v>
                </c:pt>
                <c:pt idx="4">
                  <c:v>211</c:v>
                </c:pt>
                <c:pt idx="5">
                  <c:v>259</c:v>
                </c:pt>
                <c:pt idx="6">
                  <c:v>307</c:v>
                </c:pt>
                <c:pt idx="7">
                  <c:v>356</c:v>
                </c:pt>
                <c:pt idx="8">
                  <c:v>405</c:v>
                </c:pt>
                <c:pt idx="9">
                  <c:v>454</c:v>
                </c:pt>
                <c:pt idx="10">
                  <c:v>504</c:v>
                </c:pt>
                <c:pt idx="11">
                  <c:v>553</c:v>
                </c:pt>
                <c:pt idx="12">
                  <c:v>602</c:v>
                </c:pt>
                <c:pt idx="13">
                  <c:v>652</c:v>
                </c:pt>
                <c:pt idx="14">
                  <c:v>702</c:v>
                </c:pt>
                <c:pt idx="15">
                  <c:v>749</c:v>
                </c:pt>
                <c:pt idx="16">
                  <c:v>796</c:v>
                </c:pt>
                <c:pt idx="17">
                  <c:v>843</c:v>
                </c:pt>
                <c:pt idx="18">
                  <c:v>890</c:v>
                </c:pt>
                <c:pt idx="19">
                  <c:v>936</c:v>
                </c:pt>
                <c:pt idx="20">
                  <c:v>983</c:v>
                </c:pt>
                <c:pt idx="21">
                  <c:v>1029</c:v>
                </c:pt>
                <c:pt idx="22">
                  <c:v>1075</c:v>
                </c:pt>
                <c:pt idx="23">
                  <c:v>1118</c:v>
                </c:pt>
                <c:pt idx="24">
                  <c:v>1159</c:v>
                </c:pt>
                <c:pt idx="25">
                  <c:v>1158</c:v>
                </c:pt>
                <c:pt idx="26">
                  <c:v>1157</c:v>
                </c:pt>
                <c:pt idx="27">
                  <c:v>1159</c:v>
                </c:pt>
                <c:pt idx="28">
                  <c:v>1155</c:v>
                </c:pt>
                <c:pt idx="29">
                  <c:v>1149</c:v>
                </c:pt>
                <c:pt idx="30">
                  <c:v>1142</c:v>
                </c:pt>
                <c:pt idx="31">
                  <c:v>1135</c:v>
                </c:pt>
                <c:pt idx="32">
                  <c:v>1124</c:v>
                </c:pt>
                <c:pt idx="33">
                  <c:v>1113</c:v>
                </c:pt>
                <c:pt idx="34">
                  <c:v>1103</c:v>
                </c:pt>
                <c:pt idx="35">
                  <c:v>1093</c:v>
                </c:pt>
                <c:pt idx="36">
                  <c:v>1083</c:v>
                </c:pt>
                <c:pt idx="37">
                  <c:v>1073</c:v>
                </c:pt>
                <c:pt idx="38">
                  <c:v>1064</c:v>
                </c:pt>
                <c:pt idx="39">
                  <c:v>1056</c:v>
                </c:pt>
                <c:pt idx="40">
                  <c:v>1049</c:v>
                </c:pt>
                <c:pt idx="41">
                  <c:v>1043</c:v>
                </c:pt>
                <c:pt idx="42">
                  <c:v>1038</c:v>
                </c:pt>
                <c:pt idx="43">
                  <c:v>1034</c:v>
                </c:pt>
                <c:pt idx="44">
                  <c:v>1030</c:v>
                </c:pt>
                <c:pt idx="45">
                  <c:v>1026</c:v>
                </c:pt>
                <c:pt idx="46">
                  <c:v>1022</c:v>
                </c:pt>
                <c:pt idx="47">
                  <c:v>1019</c:v>
                </c:pt>
                <c:pt idx="48">
                  <c:v>1020</c:v>
                </c:pt>
                <c:pt idx="49">
                  <c:v>1023</c:v>
                </c:pt>
                <c:pt idx="50">
                  <c:v>1025</c:v>
                </c:pt>
                <c:pt idx="51">
                  <c:v>1026</c:v>
                </c:pt>
                <c:pt idx="52">
                  <c:v>1030</c:v>
                </c:pt>
                <c:pt idx="53">
                  <c:v>1037</c:v>
                </c:pt>
                <c:pt idx="54">
                  <c:v>1044</c:v>
                </c:pt>
                <c:pt idx="55">
                  <c:v>1049</c:v>
                </c:pt>
                <c:pt idx="56">
                  <c:v>1054</c:v>
                </c:pt>
                <c:pt idx="57">
                  <c:v>1062</c:v>
                </c:pt>
                <c:pt idx="58">
                  <c:v>1069</c:v>
                </c:pt>
                <c:pt idx="59">
                  <c:v>1076</c:v>
                </c:pt>
                <c:pt idx="60">
                  <c:v>1083</c:v>
                </c:pt>
                <c:pt idx="61">
                  <c:v>1089</c:v>
                </c:pt>
                <c:pt idx="62">
                  <c:v>1095</c:v>
                </c:pt>
                <c:pt idx="63">
                  <c:v>1100</c:v>
                </c:pt>
                <c:pt idx="64">
                  <c:v>1106</c:v>
                </c:pt>
                <c:pt idx="65">
                  <c:v>1112</c:v>
                </c:pt>
                <c:pt idx="66">
                  <c:v>1117</c:v>
                </c:pt>
                <c:pt idx="67">
                  <c:v>1122</c:v>
                </c:pt>
                <c:pt idx="68">
                  <c:v>1127</c:v>
                </c:pt>
                <c:pt idx="69">
                  <c:v>1131</c:v>
                </c:pt>
                <c:pt idx="70">
                  <c:v>1135</c:v>
                </c:pt>
                <c:pt idx="71">
                  <c:v>1140</c:v>
                </c:pt>
                <c:pt idx="72">
                  <c:v>1143</c:v>
                </c:pt>
                <c:pt idx="73">
                  <c:v>1147</c:v>
                </c:pt>
                <c:pt idx="74">
                  <c:v>1149</c:v>
                </c:pt>
                <c:pt idx="75">
                  <c:v>1153</c:v>
                </c:pt>
                <c:pt idx="76">
                  <c:v>1156</c:v>
                </c:pt>
                <c:pt idx="77">
                  <c:v>1159</c:v>
                </c:pt>
                <c:pt idx="78">
                  <c:v>1161</c:v>
                </c:pt>
                <c:pt idx="79">
                  <c:v>1163</c:v>
                </c:pt>
                <c:pt idx="80">
                  <c:v>1165</c:v>
                </c:pt>
                <c:pt idx="81">
                  <c:v>1168</c:v>
                </c:pt>
                <c:pt idx="82">
                  <c:v>1170</c:v>
                </c:pt>
                <c:pt idx="83">
                  <c:v>1173</c:v>
                </c:pt>
                <c:pt idx="84">
                  <c:v>1175</c:v>
                </c:pt>
                <c:pt idx="85">
                  <c:v>1177</c:v>
                </c:pt>
                <c:pt idx="86">
                  <c:v>1179</c:v>
                </c:pt>
                <c:pt idx="87">
                  <c:v>1181</c:v>
                </c:pt>
                <c:pt idx="88">
                  <c:v>1183</c:v>
                </c:pt>
                <c:pt idx="89">
                  <c:v>1184</c:v>
                </c:pt>
                <c:pt idx="90">
                  <c:v>1185</c:v>
                </c:pt>
                <c:pt idx="91">
                  <c:v>1187</c:v>
                </c:pt>
                <c:pt idx="92">
                  <c:v>1188</c:v>
                </c:pt>
                <c:pt idx="93">
                  <c:v>1189</c:v>
                </c:pt>
                <c:pt idx="94">
                  <c:v>1190</c:v>
                </c:pt>
                <c:pt idx="95">
                  <c:v>1192</c:v>
                </c:pt>
                <c:pt idx="96">
                  <c:v>1193</c:v>
                </c:pt>
                <c:pt idx="97">
                  <c:v>1194</c:v>
                </c:pt>
                <c:pt idx="98">
                  <c:v>1196</c:v>
                </c:pt>
                <c:pt idx="99">
                  <c:v>1198</c:v>
                </c:pt>
                <c:pt idx="100">
                  <c:v>1199</c:v>
                </c:pt>
                <c:pt idx="101">
                  <c:v>1201</c:v>
                </c:pt>
                <c:pt idx="102">
                  <c:v>1202</c:v>
                </c:pt>
                <c:pt idx="103">
                  <c:v>1203</c:v>
                </c:pt>
                <c:pt idx="104">
                  <c:v>1203</c:v>
                </c:pt>
                <c:pt idx="105">
                  <c:v>1204</c:v>
                </c:pt>
                <c:pt idx="106">
                  <c:v>1204</c:v>
                </c:pt>
                <c:pt idx="107">
                  <c:v>1205</c:v>
                </c:pt>
                <c:pt idx="108">
                  <c:v>1205</c:v>
                </c:pt>
                <c:pt idx="109">
                  <c:v>1205</c:v>
                </c:pt>
                <c:pt idx="110">
                  <c:v>1205</c:v>
                </c:pt>
                <c:pt idx="111">
                  <c:v>1206</c:v>
                </c:pt>
                <c:pt idx="112">
                  <c:v>1206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97-49F4-8085-C74FB2B67EC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Sheet1!$U$48:$U$191</c:f>
              <c:numCache>
                <c:formatCode>General</c:formatCode>
                <c:ptCount val="144"/>
                <c:pt idx="0">
                  <c:v>39</c:v>
                </c:pt>
                <c:pt idx="1">
                  <c:v>41</c:v>
                </c:pt>
                <c:pt idx="2">
                  <c:v>82</c:v>
                </c:pt>
                <c:pt idx="3">
                  <c:v>116</c:v>
                </c:pt>
                <c:pt idx="4">
                  <c:v>151</c:v>
                </c:pt>
                <c:pt idx="5">
                  <c:v>188</c:v>
                </c:pt>
                <c:pt idx="6">
                  <c:v>225</c:v>
                </c:pt>
                <c:pt idx="7">
                  <c:v>261</c:v>
                </c:pt>
                <c:pt idx="8">
                  <c:v>295</c:v>
                </c:pt>
                <c:pt idx="9">
                  <c:v>328</c:v>
                </c:pt>
                <c:pt idx="10">
                  <c:v>360</c:v>
                </c:pt>
                <c:pt idx="11">
                  <c:v>389</c:v>
                </c:pt>
                <c:pt idx="12">
                  <c:v>415</c:v>
                </c:pt>
                <c:pt idx="13">
                  <c:v>441</c:v>
                </c:pt>
                <c:pt idx="14">
                  <c:v>465</c:v>
                </c:pt>
                <c:pt idx="15">
                  <c:v>486</c:v>
                </c:pt>
                <c:pt idx="16">
                  <c:v>504</c:v>
                </c:pt>
                <c:pt idx="17">
                  <c:v>519</c:v>
                </c:pt>
                <c:pt idx="18">
                  <c:v>532</c:v>
                </c:pt>
                <c:pt idx="19">
                  <c:v>543</c:v>
                </c:pt>
                <c:pt idx="20">
                  <c:v>552</c:v>
                </c:pt>
                <c:pt idx="21">
                  <c:v>559</c:v>
                </c:pt>
                <c:pt idx="22">
                  <c:v>565</c:v>
                </c:pt>
                <c:pt idx="23">
                  <c:v>568</c:v>
                </c:pt>
                <c:pt idx="24">
                  <c:v>570</c:v>
                </c:pt>
                <c:pt idx="25">
                  <c:v>575</c:v>
                </c:pt>
                <c:pt idx="26">
                  <c:v>538</c:v>
                </c:pt>
                <c:pt idx="27">
                  <c:v>500</c:v>
                </c:pt>
                <c:pt idx="28">
                  <c:v>472</c:v>
                </c:pt>
                <c:pt idx="29">
                  <c:v>445</c:v>
                </c:pt>
                <c:pt idx="30">
                  <c:v>416</c:v>
                </c:pt>
                <c:pt idx="31">
                  <c:v>384</c:v>
                </c:pt>
                <c:pt idx="32">
                  <c:v>353</c:v>
                </c:pt>
                <c:pt idx="33">
                  <c:v>326</c:v>
                </c:pt>
                <c:pt idx="34">
                  <c:v>299</c:v>
                </c:pt>
                <c:pt idx="35">
                  <c:v>272</c:v>
                </c:pt>
                <c:pt idx="36">
                  <c:v>248</c:v>
                </c:pt>
                <c:pt idx="37">
                  <c:v>225</c:v>
                </c:pt>
                <c:pt idx="38">
                  <c:v>202</c:v>
                </c:pt>
                <c:pt idx="39">
                  <c:v>180</c:v>
                </c:pt>
                <c:pt idx="40">
                  <c:v>160</c:v>
                </c:pt>
                <c:pt idx="41">
                  <c:v>144</c:v>
                </c:pt>
                <c:pt idx="42">
                  <c:v>129</c:v>
                </c:pt>
                <c:pt idx="43">
                  <c:v>117</c:v>
                </c:pt>
                <c:pt idx="44">
                  <c:v>106</c:v>
                </c:pt>
                <c:pt idx="45">
                  <c:v>99</c:v>
                </c:pt>
                <c:pt idx="46">
                  <c:v>93</c:v>
                </c:pt>
                <c:pt idx="47">
                  <c:v>89</c:v>
                </c:pt>
                <c:pt idx="48">
                  <c:v>88</c:v>
                </c:pt>
                <c:pt idx="49">
                  <c:v>90</c:v>
                </c:pt>
                <c:pt idx="50">
                  <c:v>87</c:v>
                </c:pt>
                <c:pt idx="51">
                  <c:v>85</c:v>
                </c:pt>
                <c:pt idx="52">
                  <c:v>85</c:v>
                </c:pt>
                <c:pt idx="53">
                  <c:v>83</c:v>
                </c:pt>
                <c:pt idx="54">
                  <c:v>78</c:v>
                </c:pt>
                <c:pt idx="55">
                  <c:v>75</c:v>
                </c:pt>
                <c:pt idx="56">
                  <c:v>73</c:v>
                </c:pt>
                <c:pt idx="57">
                  <c:v>72</c:v>
                </c:pt>
                <c:pt idx="58">
                  <c:v>68</c:v>
                </c:pt>
                <c:pt idx="59">
                  <c:v>65</c:v>
                </c:pt>
                <c:pt idx="60">
                  <c:v>63</c:v>
                </c:pt>
                <c:pt idx="61">
                  <c:v>61</c:v>
                </c:pt>
                <c:pt idx="62">
                  <c:v>59</c:v>
                </c:pt>
                <c:pt idx="63">
                  <c:v>58</c:v>
                </c:pt>
                <c:pt idx="64">
                  <c:v>58</c:v>
                </c:pt>
                <c:pt idx="65">
                  <c:v>59</c:v>
                </c:pt>
                <c:pt idx="66">
                  <c:v>60</c:v>
                </c:pt>
                <c:pt idx="67">
                  <c:v>62</c:v>
                </c:pt>
                <c:pt idx="68">
                  <c:v>63</c:v>
                </c:pt>
                <c:pt idx="69">
                  <c:v>64</c:v>
                </c:pt>
                <c:pt idx="70">
                  <c:v>64</c:v>
                </c:pt>
                <c:pt idx="71">
                  <c:v>64</c:v>
                </c:pt>
                <c:pt idx="72">
                  <c:v>64</c:v>
                </c:pt>
                <c:pt idx="73">
                  <c:v>63</c:v>
                </c:pt>
                <c:pt idx="74">
                  <c:v>61</c:v>
                </c:pt>
                <c:pt idx="75">
                  <c:v>59</c:v>
                </c:pt>
                <c:pt idx="76">
                  <c:v>57</c:v>
                </c:pt>
                <c:pt idx="77">
                  <c:v>55</c:v>
                </c:pt>
                <c:pt idx="78">
                  <c:v>52</c:v>
                </c:pt>
                <c:pt idx="79">
                  <c:v>50</c:v>
                </c:pt>
                <c:pt idx="80">
                  <c:v>47</c:v>
                </c:pt>
                <c:pt idx="81">
                  <c:v>45</c:v>
                </c:pt>
                <c:pt idx="82">
                  <c:v>43</c:v>
                </c:pt>
                <c:pt idx="83">
                  <c:v>41</c:v>
                </c:pt>
                <c:pt idx="84">
                  <c:v>39</c:v>
                </c:pt>
                <c:pt idx="85">
                  <c:v>37</c:v>
                </c:pt>
                <c:pt idx="86">
                  <c:v>36</c:v>
                </c:pt>
                <c:pt idx="87">
                  <c:v>34</c:v>
                </c:pt>
                <c:pt idx="88">
                  <c:v>33</c:v>
                </c:pt>
                <c:pt idx="89">
                  <c:v>31</c:v>
                </c:pt>
                <c:pt idx="90">
                  <c:v>29</c:v>
                </c:pt>
                <c:pt idx="91">
                  <c:v>28</c:v>
                </c:pt>
                <c:pt idx="92">
                  <c:v>26</c:v>
                </c:pt>
                <c:pt idx="93">
                  <c:v>24</c:v>
                </c:pt>
                <c:pt idx="94">
                  <c:v>23</c:v>
                </c:pt>
                <c:pt idx="95">
                  <c:v>22</c:v>
                </c:pt>
                <c:pt idx="96">
                  <c:v>22</c:v>
                </c:pt>
                <c:pt idx="97">
                  <c:v>21</c:v>
                </c:pt>
                <c:pt idx="98">
                  <c:v>20</c:v>
                </c:pt>
                <c:pt idx="99">
                  <c:v>20</c:v>
                </c:pt>
                <c:pt idx="100">
                  <c:v>19</c:v>
                </c:pt>
                <c:pt idx="101">
                  <c:v>19</c:v>
                </c:pt>
                <c:pt idx="102">
                  <c:v>19</c:v>
                </c:pt>
                <c:pt idx="103">
                  <c:v>18</c:v>
                </c:pt>
                <c:pt idx="104">
                  <c:v>17</c:v>
                </c:pt>
                <c:pt idx="105">
                  <c:v>16</c:v>
                </c:pt>
                <c:pt idx="106">
                  <c:v>15</c:v>
                </c:pt>
                <c:pt idx="107">
                  <c:v>14</c:v>
                </c:pt>
                <c:pt idx="108">
                  <c:v>13</c:v>
                </c:pt>
                <c:pt idx="109">
                  <c:v>12</c:v>
                </c:pt>
                <c:pt idx="110">
                  <c:v>11</c:v>
                </c:pt>
                <c:pt idx="111">
                  <c:v>10</c:v>
                </c:pt>
                <c:pt idx="11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97-49F4-8085-C74FB2B67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0996864"/>
        <c:axId val="2088461936"/>
      </c:lineChart>
      <c:catAx>
        <c:axId val="15109968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461936"/>
        <c:crosses val="autoZero"/>
        <c:auto val="1"/>
        <c:lblAlgn val="ctr"/>
        <c:lblOffset val="100"/>
        <c:noMultiLvlLbl val="0"/>
      </c:catAx>
      <c:valAx>
        <c:axId val="208846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99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390525</xdr:colOff>
      <xdr:row>3</xdr:row>
      <xdr:rowOff>123825</xdr:rowOff>
    </xdr:from>
    <xdr:to>
      <xdr:col>41</xdr:col>
      <xdr:colOff>162914</xdr:colOff>
      <xdr:row>12</xdr:row>
      <xdr:rowOff>162170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9AF14C-E6E3-4C5F-8D0C-3BF69BD49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78875" y="695325"/>
          <a:ext cx="7087589" cy="1752845"/>
        </a:xfrm>
        <a:prstGeom prst="rect">
          <a:avLst/>
        </a:prstGeom>
      </xdr:spPr>
    </xdr:pic>
    <xdr:clientData/>
  </xdr:twoCellAnchor>
  <xdr:twoCellAnchor>
    <xdr:from>
      <xdr:col>24</xdr:col>
      <xdr:colOff>19049</xdr:colOff>
      <xdr:row>131</xdr:row>
      <xdr:rowOff>14286</xdr:rowOff>
    </xdr:from>
    <xdr:to>
      <xdr:col>33</xdr:col>
      <xdr:colOff>600074</xdr:colOff>
      <xdr:row>151</xdr:row>
      <xdr:rowOff>133349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62A0B8-9F0C-6C31-CA17-242093B992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276225</xdr:colOff>
      <xdr:row>57</xdr:row>
      <xdr:rowOff>142875</xdr:rowOff>
    </xdr:from>
    <xdr:to>
      <xdr:col>41</xdr:col>
      <xdr:colOff>504825</xdr:colOff>
      <xdr:row>95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6A0A456-3673-B739-3B1C-ED3AF04306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25604-130F-48A0-80B7-7455EADA05D8}">
  <dimension ref="A1:AF191"/>
  <sheetViews>
    <sheetView tabSelected="1" topLeftCell="A26" workbookViewId="0">
      <selection activeCell="Q46" sqref="Q46"/>
    </sheetView>
  </sheetViews>
  <sheetFormatPr defaultRowHeight="14.5" x14ac:dyDescent="0.35"/>
  <cols>
    <col min="2" max="2" width="10" bestFit="1" customWidth="1"/>
    <col min="3" max="3" width="10.1796875" bestFit="1" customWidth="1"/>
    <col min="4" max="5" width="10.54296875" bestFit="1" customWidth="1"/>
    <col min="6" max="6" width="13.26953125" bestFit="1" customWidth="1"/>
    <col min="7" max="7" width="9.54296875" bestFit="1" customWidth="1"/>
    <col min="8" max="8" width="10.54296875" bestFit="1" customWidth="1"/>
    <col min="9" max="9" width="11.54296875" bestFit="1" customWidth="1"/>
    <col min="10" max="10" width="14.26953125" bestFit="1" customWidth="1"/>
    <col min="11" max="12" width="15.26953125" bestFit="1" customWidth="1"/>
    <col min="13" max="16" width="14.26953125" bestFit="1" customWidth="1"/>
  </cols>
  <sheetData>
    <row r="1" spans="1:1" x14ac:dyDescent="0.35">
      <c r="A1">
        <v>3</v>
      </c>
    </row>
    <row r="2" spans="1:1" x14ac:dyDescent="0.35">
      <c r="A2">
        <v>-1</v>
      </c>
    </row>
    <row r="3" spans="1:1" x14ac:dyDescent="0.35">
      <c r="A3">
        <v>-10</v>
      </c>
    </row>
    <row r="4" spans="1:1" x14ac:dyDescent="0.35">
      <c r="A4">
        <v>-17</v>
      </c>
    </row>
    <row r="5" spans="1:1" x14ac:dyDescent="0.35">
      <c r="A5">
        <v>0</v>
      </c>
    </row>
    <row r="6" spans="1:1" x14ac:dyDescent="0.35">
      <c r="A6">
        <v>3</v>
      </c>
    </row>
    <row r="7" spans="1:1" x14ac:dyDescent="0.35">
      <c r="A7">
        <v>1</v>
      </c>
    </row>
    <row r="8" spans="1:1" x14ac:dyDescent="0.35">
      <c r="A8">
        <v>-9</v>
      </c>
    </row>
    <row r="9" spans="1:1" x14ac:dyDescent="0.35">
      <c r="A9">
        <v>-3</v>
      </c>
    </row>
    <row r="10" spans="1:1" x14ac:dyDescent="0.35">
      <c r="A10">
        <v>4</v>
      </c>
    </row>
    <row r="11" spans="1:1" x14ac:dyDescent="0.35">
      <c r="A11">
        <v>4</v>
      </c>
    </row>
    <row r="12" spans="1:1" x14ac:dyDescent="0.35">
      <c r="A12">
        <v>1</v>
      </c>
    </row>
    <row r="13" spans="1:1" x14ac:dyDescent="0.35">
      <c r="A13">
        <v>1</v>
      </c>
    </row>
    <row r="14" spans="1:1" x14ac:dyDescent="0.35">
      <c r="A14">
        <v>5</v>
      </c>
    </row>
    <row r="15" spans="1:1" x14ac:dyDescent="0.35">
      <c r="A15">
        <v>0</v>
      </c>
    </row>
    <row r="16" spans="1:1" x14ac:dyDescent="0.35">
      <c r="A16">
        <v>-5</v>
      </c>
    </row>
    <row r="17" spans="1:20" x14ac:dyDescent="0.35">
      <c r="A17">
        <v>0</v>
      </c>
    </row>
    <row r="18" spans="1:20" x14ac:dyDescent="0.35">
      <c r="A18">
        <v>1</v>
      </c>
    </row>
    <row r="19" spans="1:20" x14ac:dyDescent="0.35">
      <c r="A19">
        <v>3</v>
      </c>
    </row>
    <row r="20" spans="1:20" x14ac:dyDescent="0.35">
      <c r="A20">
        <v>4</v>
      </c>
    </row>
    <row r="21" spans="1:20" x14ac:dyDescent="0.35">
      <c r="A21">
        <v>4</v>
      </c>
    </row>
    <row r="22" spans="1:20" x14ac:dyDescent="0.35">
      <c r="A22">
        <v>3</v>
      </c>
    </row>
    <row r="23" spans="1:20" x14ac:dyDescent="0.35">
      <c r="A23">
        <v>3</v>
      </c>
      <c r="R23">
        <v>0</v>
      </c>
      <c r="T23">
        <f t="shared" ref="T23:T47" si="0">ABS(R23-S23)</f>
        <v>0</v>
      </c>
    </row>
    <row r="24" spans="1:20" x14ac:dyDescent="0.35">
      <c r="A24">
        <v>3</v>
      </c>
      <c r="R24">
        <v>0</v>
      </c>
      <c r="T24">
        <f t="shared" si="0"/>
        <v>0</v>
      </c>
    </row>
    <row r="25" spans="1:20" x14ac:dyDescent="0.35">
      <c r="A25">
        <v>4</v>
      </c>
      <c r="R25">
        <v>0</v>
      </c>
      <c r="T25">
        <f t="shared" si="0"/>
        <v>0</v>
      </c>
    </row>
    <row r="26" spans="1:20" x14ac:dyDescent="0.35">
      <c r="A26">
        <v>4</v>
      </c>
      <c r="R26">
        <v>0</v>
      </c>
      <c r="T26">
        <f t="shared" si="0"/>
        <v>0</v>
      </c>
    </row>
    <row r="27" spans="1:20" x14ac:dyDescent="0.35">
      <c r="A27">
        <v>3</v>
      </c>
      <c r="R27">
        <v>0</v>
      </c>
      <c r="T27">
        <f t="shared" si="0"/>
        <v>0</v>
      </c>
    </row>
    <row r="28" spans="1:20" x14ac:dyDescent="0.35">
      <c r="A28">
        <v>4</v>
      </c>
      <c r="R28">
        <v>0</v>
      </c>
      <c r="T28">
        <f t="shared" si="0"/>
        <v>0</v>
      </c>
    </row>
    <row r="29" spans="1:20" x14ac:dyDescent="0.35">
      <c r="A29">
        <v>3</v>
      </c>
      <c r="R29">
        <v>0</v>
      </c>
      <c r="T29">
        <f t="shared" si="0"/>
        <v>0</v>
      </c>
    </row>
    <row r="30" spans="1:20" x14ac:dyDescent="0.35">
      <c r="A30">
        <v>0</v>
      </c>
      <c r="R30">
        <v>0</v>
      </c>
      <c r="T30">
        <f t="shared" si="0"/>
        <v>0</v>
      </c>
    </row>
    <row r="31" spans="1:20" x14ac:dyDescent="0.35">
      <c r="A31">
        <v>-12</v>
      </c>
      <c r="R31">
        <v>0</v>
      </c>
      <c r="T31">
        <f t="shared" si="0"/>
        <v>0</v>
      </c>
    </row>
    <row r="32" spans="1:20" x14ac:dyDescent="0.35">
      <c r="A32">
        <v>-3</v>
      </c>
      <c r="R32">
        <v>0</v>
      </c>
      <c r="T32">
        <f t="shared" si="0"/>
        <v>0</v>
      </c>
    </row>
    <row r="33" spans="1:25" x14ac:dyDescent="0.35">
      <c r="A33">
        <v>0</v>
      </c>
      <c r="F33" s="1"/>
      <c r="G33" s="1"/>
      <c r="H33" s="1"/>
      <c r="I33" s="1"/>
      <c r="J33" s="1"/>
      <c r="K33" s="2"/>
      <c r="L33" s="1"/>
      <c r="M33" s="3"/>
      <c r="N33" s="2"/>
      <c r="O33" s="1"/>
      <c r="P33" s="3"/>
      <c r="Q33" s="3"/>
      <c r="R33">
        <v>0</v>
      </c>
      <c r="T33">
        <f t="shared" si="0"/>
        <v>0</v>
      </c>
    </row>
    <row r="34" spans="1:25" x14ac:dyDescent="0.35">
      <c r="A34">
        <v>2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R34">
        <v>0</v>
      </c>
      <c r="T34">
        <f t="shared" si="0"/>
        <v>0</v>
      </c>
    </row>
    <row r="35" spans="1:25" x14ac:dyDescent="0.35">
      <c r="A35">
        <v>13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R35">
        <v>0</v>
      </c>
      <c r="T35">
        <f t="shared" si="0"/>
        <v>0</v>
      </c>
    </row>
    <row r="36" spans="1:25" x14ac:dyDescent="0.35">
      <c r="A36">
        <v>16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R36">
        <v>0</v>
      </c>
      <c r="T36">
        <f t="shared" si="0"/>
        <v>0</v>
      </c>
    </row>
    <row r="37" spans="1:25" x14ac:dyDescent="0.35">
      <c r="A37">
        <v>20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>
        <v>0</v>
      </c>
      <c r="T37">
        <f t="shared" si="0"/>
        <v>0</v>
      </c>
    </row>
    <row r="38" spans="1:25" x14ac:dyDescent="0.35">
      <c r="A38">
        <v>10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R38">
        <v>0</v>
      </c>
      <c r="T38">
        <f t="shared" si="0"/>
        <v>0</v>
      </c>
    </row>
    <row r="39" spans="1:25" x14ac:dyDescent="0.35">
      <c r="A39">
        <v>4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R39">
        <v>0</v>
      </c>
      <c r="T39">
        <f t="shared" si="0"/>
        <v>0</v>
      </c>
    </row>
    <row r="40" spans="1:25" x14ac:dyDescent="0.35">
      <c r="A40">
        <v>26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R40">
        <v>0</v>
      </c>
      <c r="T40">
        <f t="shared" si="0"/>
        <v>0</v>
      </c>
    </row>
    <row r="41" spans="1:25" x14ac:dyDescent="0.35">
      <c r="A41">
        <v>32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R41">
        <v>0</v>
      </c>
      <c r="T41">
        <f t="shared" si="0"/>
        <v>0</v>
      </c>
      <c r="X41" s="5"/>
      <c r="Y41" s="5"/>
    </row>
    <row r="42" spans="1:25" x14ac:dyDescent="0.35">
      <c r="A42">
        <v>36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R42">
        <v>0</v>
      </c>
      <c r="T42">
        <f t="shared" si="0"/>
        <v>0</v>
      </c>
    </row>
    <row r="43" spans="1:25" x14ac:dyDescent="0.35">
      <c r="A43">
        <v>40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R43">
        <v>0</v>
      </c>
      <c r="T43">
        <f t="shared" si="0"/>
        <v>0</v>
      </c>
    </row>
    <row r="44" spans="1:25" x14ac:dyDescent="0.35">
      <c r="A44">
        <v>43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R44">
        <v>0</v>
      </c>
      <c r="T44">
        <f t="shared" si="0"/>
        <v>0</v>
      </c>
    </row>
    <row r="45" spans="1:25" x14ac:dyDescent="0.35">
      <c r="A45">
        <v>46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R45">
        <v>0</v>
      </c>
      <c r="T45">
        <f t="shared" si="0"/>
        <v>0</v>
      </c>
    </row>
    <row r="46" spans="1:25" x14ac:dyDescent="0.35">
      <c r="A46">
        <v>49</v>
      </c>
      <c r="B46" t="s">
        <v>399</v>
      </c>
      <c r="C46" t="s">
        <v>400</v>
      </c>
      <c r="D46" t="s">
        <v>0</v>
      </c>
      <c r="E46" t="s">
        <v>1</v>
      </c>
      <c r="F46" s="1" t="s">
        <v>2</v>
      </c>
      <c r="G46" s="1" t="s">
        <v>3</v>
      </c>
      <c r="H46" s="1" t="s">
        <v>4</v>
      </c>
      <c r="I46" s="1" t="s">
        <v>5</v>
      </c>
      <c r="J46" s="1" t="s">
        <v>6</v>
      </c>
      <c r="K46" s="2" t="s">
        <v>7</v>
      </c>
      <c r="L46" s="1" t="s">
        <v>8</v>
      </c>
      <c r="M46" s="3" t="s">
        <v>9</v>
      </c>
      <c r="N46" s="2" t="s">
        <v>10</v>
      </c>
      <c r="O46" s="1" t="s">
        <v>6</v>
      </c>
      <c r="P46" s="3" t="s">
        <v>11</v>
      </c>
      <c r="Q46" s="3" t="s">
        <v>12</v>
      </c>
      <c r="R46">
        <v>0</v>
      </c>
      <c r="T46">
        <f t="shared" si="0"/>
        <v>0</v>
      </c>
    </row>
    <row r="47" spans="1:25" x14ac:dyDescent="0.35">
      <c r="A47">
        <v>52</v>
      </c>
      <c r="B47">
        <v>1</v>
      </c>
      <c r="C47" s="4">
        <v>52</v>
      </c>
      <c r="D47" s="4">
        <f>C47*B47</f>
        <v>52</v>
      </c>
      <c r="E47" s="4">
        <f>B47*B47</f>
        <v>1</v>
      </c>
      <c r="F47" s="4">
        <f>D47</f>
        <v>52</v>
      </c>
      <c r="G47" s="4">
        <f>B47</f>
        <v>1</v>
      </c>
      <c r="H47" s="4">
        <f>C47</f>
        <v>52</v>
      </c>
      <c r="I47" s="4">
        <f>E47</f>
        <v>1</v>
      </c>
      <c r="J47" s="4">
        <f>G47*G47</f>
        <v>1</v>
      </c>
      <c r="K47" s="4">
        <f>B47*F47</f>
        <v>52</v>
      </c>
      <c r="L47" s="4">
        <f>G47*H47</f>
        <v>52</v>
      </c>
      <c r="M47" s="4">
        <f>K47-L47</f>
        <v>0</v>
      </c>
      <c r="N47" s="4">
        <f>B47*I47</f>
        <v>1</v>
      </c>
      <c r="O47" s="4">
        <f>G47*G47</f>
        <v>1</v>
      </c>
      <c r="P47" s="4"/>
      <c r="R47">
        <v>0</v>
      </c>
      <c r="T47">
        <f t="shared" si="0"/>
        <v>0</v>
      </c>
    </row>
    <row r="48" spans="1:25" x14ac:dyDescent="0.35">
      <c r="A48">
        <v>55</v>
      </c>
      <c r="B48">
        <v>2</v>
      </c>
      <c r="C48" s="4">
        <v>55</v>
      </c>
      <c r="D48" s="4">
        <f>C48*B48</f>
        <v>110</v>
      </c>
      <c r="E48" s="4">
        <f>B48*B48</f>
        <v>4</v>
      </c>
      <c r="F48" s="4">
        <f>F47+D48</f>
        <v>162</v>
      </c>
      <c r="G48" s="4">
        <f>G47+B48</f>
        <v>3</v>
      </c>
      <c r="H48" s="4">
        <f>H47+C48</f>
        <v>107</v>
      </c>
      <c r="I48" s="4">
        <f>I47+E48</f>
        <v>5</v>
      </c>
      <c r="J48" s="4">
        <f>G48*G48</f>
        <v>9</v>
      </c>
      <c r="K48" s="4">
        <f>B48*F48</f>
        <v>324</v>
      </c>
      <c r="L48" s="4">
        <f>G48*H48</f>
        <v>321</v>
      </c>
      <c r="M48" s="4">
        <f t="shared" ref="M48:M50" si="1">K48-L48</f>
        <v>3</v>
      </c>
      <c r="N48" s="4">
        <f t="shared" ref="N48:N50" si="2">B48*I48</f>
        <v>10</v>
      </c>
      <c r="O48" s="4">
        <f t="shared" ref="O48:O50" si="3">G48*G48</f>
        <v>9</v>
      </c>
      <c r="P48" s="4">
        <f>N48-O48</f>
        <v>1</v>
      </c>
      <c r="Q48">
        <f>M48/P48</f>
        <v>3</v>
      </c>
      <c r="R48">
        <f>Q48*360</f>
        <v>1080</v>
      </c>
      <c r="S48">
        <f>INT(AVERAGE(R24:R48))</f>
        <v>43</v>
      </c>
      <c r="T48">
        <f>ABS(R48-S48)</f>
        <v>1037</v>
      </c>
      <c r="U48">
        <f>INT(AVERAGE(T23:T48))</f>
        <v>39</v>
      </c>
    </row>
    <row r="49" spans="1:32" x14ac:dyDescent="0.35">
      <c r="A49">
        <v>58</v>
      </c>
      <c r="B49">
        <v>3</v>
      </c>
      <c r="C49" s="4">
        <v>58</v>
      </c>
      <c r="D49" s="4">
        <f t="shared" ref="D49:D50" si="4">C49*B49</f>
        <v>174</v>
      </c>
      <c r="E49" s="4">
        <f t="shared" ref="E49:E50" si="5">B49*B49</f>
        <v>9</v>
      </c>
      <c r="F49" s="4">
        <f>F48+D49</f>
        <v>336</v>
      </c>
      <c r="G49" s="4">
        <f>G48+B49</f>
        <v>6</v>
      </c>
      <c r="H49" s="4">
        <f>H48+C49</f>
        <v>165</v>
      </c>
      <c r="I49" s="4">
        <f>I48+E49</f>
        <v>14</v>
      </c>
      <c r="J49" s="4">
        <f>G49*G49</f>
        <v>36</v>
      </c>
      <c r="K49" s="4">
        <f>B49*F49</f>
        <v>1008</v>
      </c>
      <c r="L49" s="4">
        <f t="shared" ref="L49:L50" si="6">G49*H49</f>
        <v>990</v>
      </c>
      <c r="M49" s="4">
        <f t="shared" si="1"/>
        <v>18</v>
      </c>
      <c r="N49" s="4">
        <f t="shared" si="2"/>
        <v>42</v>
      </c>
      <c r="O49" s="4">
        <f t="shared" si="3"/>
        <v>36</v>
      </c>
      <c r="P49" s="4">
        <f t="shared" ref="P49:P50" si="7">N49-O49</f>
        <v>6</v>
      </c>
      <c r="Q49">
        <f t="shared" ref="Q49:Q50" si="8">M49/P49</f>
        <v>3</v>
      </c>
      <c r="R49">
        <f t="shared" ref="R49:R112" si="9">Q49*360</f>
        <v>1080</v>
      </c>
      <c r="S49">
        <f>INT(AVERAGE(R25:R49))</f>
        <v>86</v>
      </c>
      <c r="T49">
        <f>ABS(R49-S48)</f>
        <v>1037</v>
      </c>
      <c r="U49">
        <f>INT(AVERAGE(T24:T48))</f>
        <v>41</v>
      </c>
      <c r="X49" s="6"/>
      <c r="Y49" s="6"/>
      <c r="Z49" s="6"/>
      <c r="AA49" s="6"/>
      <c r="AB49" s="6"/>
      <c r="AC49" s="6"/>
    </row>
    <row r="50" spans="1:32" x14ac:dyDescent="0.35">
      <c r="A50">
        <v>60</v>
      </c>
      <c r="B50">
        <v>4</v>
      </c>
      <c r="C50" s="4">
        <v>60</v>
      </c>
      <c r="D50" s="4">
        <f t="shared" si="4"/>
        <v>240</v>
      </c>
      <c r="E50" s="4">
        <f t="shared" si="5"/>
        <v>16</v>
      </c>
      <c r="F50" s="4">
        <f>F49+D50</f>
        <v>576</v>
      </c>
      <c r="G50" s="4">
        <f t="shared" ref="G50:G51" si="10">G49+B50</f>
        <v>10</v>
      </c>
      <c r="H50" s="4">
        <f t="shared" ref="H50:H51" si="11">H49+C50</f>
        <v>225</v>
      </c>
      <c r="I50" s="4">
        <f t="shared" ref="I50:I51" si="12">I49+E50</f>
        <v>30</v>
      </c>
      <c r="J50" s="4">
        <f t="shared" ref="J50:J51" si="13">G50*G50</f>
        <v>100</v>
      </c>
      <c r="K50" s="4">
        <f t="shared" ref="K50:K51" si="14">B50*F50</f>
        <v>2304</v>
      </c>
      <c r="L50" s="4">
        <f t="shared" si="6"/>
        <v>2250</v>
      </c>
      <c r="M50" s="4">
        <f t="shared" si="1"/>
        <v>54</v>
      </c>
      <c r="N50" s="4">
        <f t="shared" si="2"/>
        <v>120</v>
      </c>
      <c r="O50" s="4">
        <f t="shared" si="3"/>
        <v>100</v>
      </c>
      <c r="P50" s="4">
        <f t="shared" si="7"/>
        <v>20</v>
      </c>
      <c r="Q50">
        <f t="shared" si="8"/>
        <v>2.7</v>
      </c>
      <c r="R50">
        <f t="shared" si="9"/>
        <v>972.00000000000011</v>
      </c>
      <c r="S50">
        <f t="shared" ref="S50:S113" si="15">INT(AVERAGE(R26:R50))</f>
        <v>125</v>
      </c>
      <c r="T50">
        <f t="shared" ref="T50:T113" si="16">ABS(R50-S50)</f>
        <v>847.00000000000011</v>
      </c>
      <c r="U50">
        <f>INT(AVERAGE(T25:T49))</f>
        <v>82</v>
      </c>
    </row>
    <row r="51" spans="1:32" x14ac:dyDescent="0.35">
      <c r="A51">
        <v>64</v>
      </c>
      <c r="B51">
        <v>5</v>
      </c>
      <c r="C51" s="4">
        <v>64</v>
      </c>
      <c r="D51" s="4">
        <f t="shared" ref="D51:D114" si="17">C51*B51</f>
        <v>320</v>
      </c>
      <c r="E51" s="4">
        <f t="shared" ref="E51:E114" si="18">B51*B51</f>
        <v>25</v>
      </c>
      <c r="F51" s="4">
        <f t="shared" ref="F51:F114" si="19">F50+D51</f>
        <v>896</v>
      </c>
      <c r="G51" s="4">
        <f t="shared" si="10"/>
        <v>15</v>
      </c>
      <c r="H51" s="4">
        <f t="shared" si="11"/>
        <v>289</v>
      </c>
      <c r="I51" s="4">
        <f t="shared" si="12"/>
        <v>55</v>
      </c>
      <c r="J51" s="4">
        <f t="shared" si="13"/>
        <v>225</v>
      </c>
      <c r="K51" s="4">
        <f t="shared" si="14"/>
        <v>4480</v>
      </c>
      <c r="L51" s="4">
        <f t="shared" ref="L51:L114" si="20">G51*H51</f>
        <v>4335</v>
      </c>
      <c r="M51" s="4">
        <f t="shared" ref="M51:M114" si="21">K51-L51</f>
        <v>145</v>
      </c>
      <c r="N51" s="4">
        <f t="shared" ref="N51:N114" si="22">B51*I51</f>
        <v>275</v>
      </c>
      <c r="O51" s="4">
        <f t="shared" ref="O51:O114" si="23">G51*G51</f>
        <v>225</v>
      </c>
      <c r="P51" s="4">
        <f t="shared" ref="P51:P114" si="24">N51-O51</f>
        <v>50</v>
      </c>
      <c r="Q51">
        <f t="shared" ref="Q51:Q114" si="25">M51/P51</f>
        <v>2.9</v>
      </c>
      <c r="R51">
        <f t="shared" si="9"/>
        <v>1044</v>
      </c>
      <c r="S51">
        <f t="shared" si="15"/>
        <v>167</v>
      </c>
      <c r="T51">
        <f t="shared" si="16"/>
        <v>877</v>
      </c>
      <c r="U51">
        <f>INT(AVERAGE(T26:T50))</f>
        <v>116</v>
      </c>
    </row>
    <row r="52" spans="1:32" x14ac:dyDescent="0.35">
      <c r="A52">
        <v>68</v>
      </c>
      <c r="B52">
        <v>6</v>
      </c>
      <c r="C52" s="4">
        <v>68</v>
      </c>
      <c r="D52" s="4">
        <f t="shared" si="17"/>
        <v>408</v>
      </c>
      <c r="E52" s="4">
        <f t="shared" si="18"/>
        <v>36</v>
      </c>
      <c r="F52" s="4">
        <f t="shared" si="19"/>
        <v>1304</v>
      </c>
      <c r="G52" s="4">
        <f t="shared" ref="G52:G115" si="26">G51+B52</f>
        <v>21</v>
      </c>
      <c r="H52" s="4">
        <f t="shared" ref="H52:H115" si="27">H51+C52</f>
        <v>357</v>
      </c>
      <c r="I52" s="4">
        <f t="shared" ref="I52:I115" si="28">I51+E52</f>
        <v>91</v>
      </c>
      <c r="J52" s="4">
        <f t="shared" ref="J52:J115" si="29">G52*G52</f>
        <v>441</v>
      </c>
      <c r="K52" s="4">
        <f t="shared" ref="K52:K115" si="30">B52*F52</f>
        <v>7824</v>
      </c>
      <c r="L52" s="4">
        <f t="shared" si="20"/>
        <v>7497</v>
      </c>
      <c r="M52" s="4">
        <f t="shared" si="21"/>
        <v>327</v>
      </c>
      <c r="N52" s="4">
        <f t="shared" si="22"/>
        <v>546</v>
      </c>
      <c r="O52" s="4">
        <f t="shared" si="23"/>
        <v>441</v>
      </c>
      <c r="P52" s="4">
        <f t="shared" si="24"/>
        <v>105</v>
      </c>
      <c r="Q52">
        <f t="shared" si="25"/>
        <v>3.1142857142857143</v>
      </c>
      <c r="R52">
        <f t="shared" si="9"/>
        <v>1121.1428571428571</v>
      </c>
      <c r="S52">
        <f t="shared" si="15"/>
        <v>211</v>
      </c>
      <c r="T52">
        <f t="shared" si="16"/>
        <v>910.14285714285711</v>
      </c>
      <c r="U52">
        <f t="shared" ref="U52:U91" si="31">INT(AVERAGE(T27:T51))</f>
        <v>151</v>
      </c>
    </row>
    <row r="53" spans="1:32" x14ac:dyDescent="0.35">
      <c r="A53">
        <v>72</v>
      </c>
      <c r="B53">
        <v>7</v>
      </c>
      <c r="C53" s="4">
        <v>72</v>
      </c>
      <c r="D53" s="4">
        <f t="shared" si="17"/>
        <v>504</v>
      </c>
      <c r="E53" s="4">
        <f t="shared" si="18"/>
        <v>49</v>
      </c>
      <c r="F53" s="4">
        <f t="shared" si="19"/>
        <v>1808</v>
      </c>
      <c r="G53" s="4">
        <f t="shared" si="26"/>
        <v>28</v>
      </c>
      <c r="H53" s="4">
        <f t="shared" si="27"/>
        <v>429</v>
      </c>
      <c r="I53" s="4">
        <f t="shared" si="28"/>
        <v>140</v>
      </c>
      <c r="J53" s="4">
        <f t="shared" si="29"/>
        <v>784</v>
      </c>
      <c r="K53" s="4">
        <f t="shared" si="30"/>
        <v>12656</v>
      </c>
      <c r="L53" s="4">
        <f t="shared" si="20"/>
        <v>12012</v>
      </c>
      <c r="M53" s="4">
        <f t="shared" si="21"/>
        <v>644</v>
      </c>
      <c r="N53" s="4">
        <f t="shared" si="22"/>
        <v>980</v>
      </c>
      <c r="O53" s="4">
        <f t="shared" si="23"/>
        <v>784</v>
      </c>
      <c r="P53" s="4">
        <f t="shared" si="24"/>
        <v>196</v>
      </c>
      <c r="Q53">
        <f t="shared" si="25"/>
        <v>3.2857142857142856</v>
      </c>
      <c r="R53">
        <f>Q53*360</f>
        <v>1182.8571428571429</v>
      </c>
      <c r="S53">
        <f t="shared" si="15"/>
        <v>259</v>
      </c>
      <c r="T53">
        <f t="shared" si="16"/>
        <v>923.85714285714289</v>
      </c>
      <c r="U53">
        <f t="shared" si="31"/>
        <v>188</v>
      </c>
    </row>
    <row r="54" spans="1:32" x14ac:dyDescent="0.35">
      <c r="A54">
        <v>75</v>
      </c>
      <c r="B54">
        <v>8</v>
      </c>
      <c r="C54" s="4">
        <v>75</v>
      </c>
      <c r="D54" s="4">
        <f t="shared" si="17"/>
        <v>600</v>
      </c>
      <c r="E54" s="4">
        <f t="shared" si="18"/>
        <v>64</v>
      </c>
      <c r="F54" s="4">
        <f t="shared" si="19"/>
        <v>2408</v>
      </c>
      <c r="G54" s="4">
        <f t="shared" si="26"/>
        <v>36</v>
      </c>
      <c r="H54" s="4">
        <f t="shared" si="27"/>
        <v>504</v>
      </c>
      <c r="I54" s="4">
        <f t="shared" si="28"/>
        <v>204</v>
      </c>
      <c r="J54" s="4">
        <f t="shared" si="29"/>
        <v>1296</v>
      </c>
      <c r="K54" s="4">
        <f t="shared" si="30"/>
        <v>19264</v>
      </c>
      <c r="L54" s="4">
        <f t="shared" si="20"/>
        <v>18144</v>
      </c>
      <c r="M54" s="4">
        <f t="shared" si="21"/>
        <v>1120</v>
      </c>
      <c r="N54" s="4">
        <f t="shared" si="22"/>
        <v>1632</v>
      </c>
      <c r="O54" s="4">
        <f t="shared" si="23"/>
        <v>1296</v>
      </c>
      <c r="P54" s="4">
        <f t="shared" si="24"/>
        <v>336</v>
      </c>
      <c r="Q54">
        <f t="shared" si="25"/>
        <v>3.3333333333333335</v>
      </c>
      <c r="R54">
        <f t="shared" si="9"/>
        <v>1200</v>
      </c>
      <c r="S54">
        <f t="shared" si="15"/>
        <v>307</v>
      </c>
      <c r="T54">
        <f t="shared" si="16"/>
        <v>893</v>
      </c>
      <c r="U54">
        <f t="shared" si="31"/>
        <v>225</v>
      </c>
      <c r="X54" s="6"/>
      <c r="Y54" s="6"/>
      <c r="Z54" s="6"/>
      <c r="AA54" s="6"/>
      <c r="AB54" s="6"/>
      <c r="AC54" s="6"/>
      <c r="AD54" s="6"/>
      <c r="AE54" s="6"/>
      <c r="AF54" s="6"/>
    </row>
    <row r="55" spans="1:32" x14ac:dyDescent="0.35">
      <c r="A55">
        <v>79</v>
      </c>
      <c r="B55">
        <v>9</v>
      </c>
      <c r="C55" s="4">
        <v>79</v>
      </c>
      <c r="D55" s="4">
        <f t="shared" si="17"/>
        <v>711</v>
      </c>
      <c r="E55" s="4">
        <f t="shared" si="18"/>
        <v>81</v>
      </c>
      <c r="F55" s="4">
        <f t="shared" si="19"/>
        <v>3119</v>
      </c>
      <c r="G55" s="4">
        <f t="shared" si="26"/>
        <v>45</v>
      </c>
      <c r="H55" s="4">
        <f t="shared" si="27"/>
        <v>583</v>
      </c>
      <c r="I55" s="4">
        <f t="shared" si="28"/>
        <v>285</v>
      </c>
      <c r="J55" s="4">
        <f t="shared" si="29"/>
        <v>2025</v>
      </c>
      <c r="K55" s="4">
        <f t="shared" si="30"/>
        <v>28071</v>
      </c>
      <c r="L55" s="4">
        <f t="shared" si="20"/>
        <v>26235</v>
      </c>
      <c r="M55" s="4">
        <f t="shared" si="21"/>
        <v>1836</v>
      </c>
      <c r="N55" s="4">
        <f t="shared" si="22"/>
        <v>2565</v>
      </c>
      <c r="O55" s="4">
        <f t="shared" si="23"/>
        <v>2025</v>
      </c>
      <c r="P55" s="4">
        <f t="shared" si="24"/>
        <v>540</v>
      </c>
      <c r="Q55">
        <f t="shared" si="25"/>
        <v>3.4</v>
      </c>
      <c r="R55">
        <f t="shared" si="9"/>
        <v>1224</v>
      </c>
      <c r="S55">
        <f t="shared" si="15"/>
        <v>356</v>
      </c>
      <c r="T55">
        <f t="shared" si="16"/>
        <v>868</v>
      </c>
      <c r="U55">
        <f t="shared" si="31"/>
        <v>261</v>
      </c>
    </row>
    <row r="56" spans="1:32" x14ac:dyDescent="0.35">
      <c r="A56">
        <v>82</v>
      </c>
      <c r="B56">
        <v>10</v>
      </c>
      <c r="C56" s="4">
        <v>82</v>
      </c>
      <c r="D56" s="4">
        <f t="shared" si="17"/>
        <v>820</v>
      </c>
      <c r="E56" s="4">
        <f t="shared" si="18"/>
        <v>100</v>
      </c>
      <c r="F56" s="4">
        <f t="shared" si="19"/>
        <v>3939</v>
      </c>
      <c r="G56" s="4">
        <f t="shared" si="26"/>
        <v>55</v>
      </c>
      <c r="H56" s="4">
        <f t="shared" si="27"/>
        <v>665</v>
      </c>
      <c r="I56" s="4">
        <f t="shared" si="28"/>
        <v>385</v>
      </c>
      <c r="J56" s="4">
        <f t="shared" si="29"/>
        <v>3025</v>
      </c>
      <c r="K56" s="4">
        <f t="shared" si="30"/>
        <v>39390</v>
      </c>
      <c r="L56" s="4">
        <f t="shared" si="20"/>
        <v>36575</v>
      </c>
      <c r="M56" s="4">
        <f t="shared" si="21"/>
        <v>2815</v>
      </c>
      <c r="N56" s="4">
        <f t="shared" si="22"/>
        <v>3850</v>
      </c>
      <c r="O56" s="4">
        <f t="shared" si="23"/>
        <v>3025</v>
      </c>
      <c r="P56" s="4">
        <f t="shared" si="24"/>
        <v>825</v>
      </c>
      <c r="Q56">
        <f t="shared" si="25"/>
        <v>3.4121212121212121</v>
      </c>
      <c r="R56">
        <f t="shared" si="9"/>
        <v>1228.3636363636363</v>
      </c>
      <c r="S56">
        <f t="shared" si="15"/>
        <v>405</v>
      </c>
      <c r="T56">
        <f t="shared" si="16"/>
        <v>823.36363636363626</v>
      </c>
      <c r="U56">
        <f t="shared" si="31"/>
        <v>295</v>
      </c>
    </row>
    <row r="57" spans="1:32" x14ac:dyDescent="0.35">
      <c r="A57">
        <v>86</v>
      </c>
      <c r="B57">
        <v>11</v>
      </c>
      <c r="C57" s="4">
        <v>86</v>
      </c>
      <c r="D57" s="4">
        <f t="shared" si="17"/>
        <v>946</v>
      </c>
      <c r="E57" s="4">
        <f t="shared" si="18"/>
        <v>121</v>
      </c>
      <c r="F57" s="4">
        <f t="shared" si="19"/>
        <v>4885</v>
      </c>
      <c r="G57" s="4">
        <f t="shared" si="26"/>
        <v>66</v>
      </c>
      <c r="H57" s="4">
        <f t="shared" si="27"/>
        <v>751</v>
      </c>
      <c r="I57" s="4">
        <f t="shared" si="28"/>
        <v>506</v>
      </c>
      <c r="J57" s="4">
        <f t="shared" si="29"/>
        <v>4356</v>
      </c>
      <c r="K57" s="4">
        <f t="shared" si="30"/>
        <v>53735</v>
      </c>
      <c r="L57" s="4">
        <f t="shared" si="20"/>
        <v>49566</v>
      </c>
      <c r="M57" s="4">
        <f t="shared" si="21"/>
        <v>4169</v>
      </c>
      <c r="N57" s="4">
        <f t="shared" si="22"/>
        <v>5566</v>
      </c>
      <c r="O57" s="4">
        <f t="shared" si="23"/>
        <v>4356</v>
      </c>
      <c r="P57" s="4">
        <f t="shared" si="24"/>
        <v>1210</v>
      </c>
      <c r="Q57">
        <f t="shared" si="25"/>
        <v>3.4454545454545453</v>
      </c>
      <c r="R57">
        <f t="shared" si="9"/>
        <v>1240.3636363636363</v>
      </c>
      <c r="S57">
        <f t="shared" si="15"/>
        <v>454</v>
      </c>
      <c r="T57">
        <f t="shared" si="16"/>
        <v>786.36363636363626</v>
      </c>
      <c r="U57">
        <f t="shared" si="31"/>
        <v>328</v>
      </c>
    </row>
    <row r="58" spans="1:32" x14ac:dyDescent="0.35">
      <c r="A58">
        <v>88</v>
      </c>
      <c r="B58">
        <v>12</v>
      </c>
      <c r="C58" s="4">
        <v>88</v>
      </c>
      <c r="D58" s="4">
        <f t="shared" si="17"/>
        <v>1056</v>
      </c>
      <c r="E58" s="4">
        <f t="shared" si="18"/>
        <v>144</v>
      </c>
      <c r="F58" s="4">
        <f t="shared" si="19"/>
        <v>5941</v>
      </c>
      <c r="G58" s="4">
        <f t="shared" si="26"/>
        <v>78</v>
      </c>
      <c r="H58" s="4">
        <f t="shared" si="27"/>
        <v>839</v>
      </c>
      <c r="I58" s="4">
        <f t="shared" si="28"/>
        <v>650</v>
      </c>
      <c r="J58" s="4">
        <f t="shared" si="29"/>
        <v>6084</v>
      </c>
      <c r="K58" s="4">
        <f t="shared" si="30"/>
        <v>71292</v>
      </c>
      <c r="L58" s="4">
        <f t="shared" si="20"/>
        <v>65442</v>
      </c>
      <c r="M58" s="4">
        <f t="shared" si="21"/>
        <v>5850</v>
      </c>
      <c r="N58" s="4">
        <f t="shared" si="22"/>
        <v>7800</v>
      </c>
      <c r="O58" s="4">
        <f t="shared" si="23"/>
        <v>6084</v>
      </c>
      <c r="P58" s="4">
        <f t="shared" si="24"/>
        <v>1716</v>
      </c>
      <c r="Q58">
        <f t="shared" si="25"/>
        <v>3.4090909090909092</v>
      </c>
      <c r="R58">
        <f t="shared" si="9"/>
        <v>1227.2727272727273</v>
      </c>
      <c r="S58">
        <f t="shared" si="15"/>
        <v>504</v>
      </c>
      <c r="T58">
        <f t="shared" si="16"/>
        <v>723.27272727272725</v>
      </c>
      <c r="U58">
        <f t="shared" si="31"/>
        <v>360</v>
      </c>
    </row>
    <row r="59" spans="1:32" x14ac:dyDescent="0.35">
      <c r="A59">
        <v>92</v>
      </c>
      <c r="B59">
        <v>13</v>
      </c>
      <c r="C59" s="4">
        <v>92</v>
      </c>
      <c r="D59" s="4">
        <f t="shared" si="17"/>
        <v>1196</v>
      </c>
      <c r="E59" s="4">
        <f t="shared" si="18"/>
        <v>169</v>
      </c>
      <c r="F59" s="4">
        <f t="shared" si="19"/>
        <v>7137</v>
      </c>
      <c r="G59" s="4">
        <f t="shared" si="26"/>
        <v>91</v>
      </c>
      <c r="H59" s="4">
        <f t="shared" si="27"/>
        <v>931</v>
      </c>
      <c r="I59" s="4">
        <f t="shared" si="28"/>
        <v>819</v>
      </c>
      <c r="J59" s="4">
        <f t="shared" si="29"/>
        <v>8281</v>
      </c>
      <c r="K59" s="4">
        <f t="shared" si="30"/>
        <v>92781</v>
      </c>
      <c r="L59" s="4">
        <f t="shared" si="20"/>
        <v>84721</v>
      </c>
      <c r="M59" s="4">
        <f t="shared" si="21"/>
        <v>8060</v>
      </c>
      <c r="N59" s="4">
        <f t="shared" si="22"/>
        <v>10647</v>
      </c>
      <c r="O59" s="4">
        <f t="shared" si="23"/>
        <v>8281</v>
      </c>
      <c r="P59" s="4">
        <f t="shared" si="24"/>
        <v>2366</v>
      </c>
      <c r="Q59">
        <f t="shared" si="25"/>
        <v>3.4065934065934065</v>
      </c>
      <c r="R59">
        <f t="shared" si="9"/>
        <v>1226.3736263736264</v>
      </c>
      <c r="S59">
        <f t="shared" si="15"/>
        <v>553</v>
      </c>
      <c r="T59">
        <f t="shared" si="16"/>
        <v>673.37362637362639</v>
      </c>
      <c r="U59">
        <f t="shared" si="31"/>
        <v>389</v>
      </c>
    </row>
    <row r="60" spans="1:32" x14ac:dyDescent="0.35">
      <c r="A60">
        <v>97</v>
      </c>
      <c r="B60">
        <v>14</v>
      </c>
      <c r="C60" s="4">
        <v>97</v>
      </c>
      <c r="D60" s="4">
        <f t="shared" si="17"/>
        <v>1358</v>
      </c>
      <c r="E60" s="4">
        <f t="shared" si="18"/>
        <v>196</v>
      </c>
      <c r="F60" s="4">
        <f t="shared" si="19"/>
        <v>8495</v>
      </c>
      <c r="G60" s="4">
        <f t="shared" si="26"/>
        <v>105</v>
      </c>
      <c r="H60" s="4">
        <f t="shared" si="27"/>
        <v>1028</v>
      </c>
      <c r="I60" s="4">
        <f t="shared" si="28"/>
        <v>1015</v>
      </c>
      <c r="J60" s="4">
        <f t="shared" si="29"/>
        <v>11025</v>
      </c>
      <c r="K60" s="4">
        <f t="shared" si="30"/>
        <v>118930</v>
      </c>
      <c r="L60" s="4">
        <f t="shared" si="20"/>
        <v>107940</v>
      </c>
      <c r="M60" s="4">
        <f t="shared" si="21"/>
        <v>10990</v>
      </c>
      <c r="N60" s="4">
        <f t="shared" si="22"/>
        <v>14210</v>
      </c>
      <c r="O60" s="4">
        <f t="shared" si="23"/>
        <v>11025</v>
      </c>
      <c r="P60" s="4">
        <f t="shared" si="24"/>
        <v>3185</v>
      </c>
      <c r="Q60">
        <f t="shared" si="25"/>
        <v>3.4505494505494507</v>
      </c>
      <c r="R60">
        <f t="shared" si="9"/>
        <v>1242.1978021978023</v>
      </c>
      <c r="S60">
        <f t="shared" si="15"/>
        <v>602</v>
      </c>
      <c r="T60">
        <f t="shared" si="16"/>
        <v>640.19780219780228</v>
      </c>
      <c r="U60">
        <f t="shared" si="31"/>
        <v>415</v>
      </c>
    </row>
    <row r="61" spans="1:32" x14ac:dyDescent="0.35">
      <c r="A61">
        <v>100</v>
      </c>
      <c r="B61">
        <v>15</v>
      </c>
      <c r="C61" s="4">
        <v>100</v>
      </c>
      <c r="D61" s="4">
        <f t="shared" si="17"/>
        <v>1500</v>
      </c>
      <c r="E61" s="4">
        <f t="shared" si="18"/>
        <v>225</v>
      </c>
      <c r="F61" s="4">
        <f t="shared" si="19"/>
        <v>9995</v>
      </c>
      <c r="G61" s="4">
        <f t="shared" si="26"/>
        <v>120</v>
      </c>
      <c r="H61" s="4">
        <f t="shared" si="27"/>
        <v>1128</v>
      </c>
      <c r="I61" s="4">
        <f t="shared" si="28"/>
        <v>1240</v>
      </c>
      <c r="J61" s="4">
        <f t="shared" si="29"/>
        <v>14400</v>
      </c>
      <c r="K61" s="4">
        <f t="shared" si="30"/>
        <v>149925</v>
      </c>
      <c r="L61" s="4">
        <f t="shared" si="20"/>
        <v>135360</v>
      </c>
      <c r="M61" s="4">
        <f t="shared" si="21"/>
        <v>14565</v>
      </c>
      <c r="N61" s="4">
        <f t="shared" si="22"/>
        <v>18600</v>
      </c>
      <c r="O61" s="4">
        <f t="shared" si="23"/>
        <v>14400</v>
      </c>
      <c r="P61" s="4">
        <f t="shared" si="24"/>
        <v>4200</v>
      </c>
      <c r="Q61">
        <f t="shared" si="25"/>
        <v>3.467857142857143</v>
      </c>
      <c r="R61">
        <f t="shared" si="9"/>
        <v>1248.4285714285716</v>
      </c>
      <c r="S61">
        <f t="shared" si="15"/>
        <v>652</v>
      </c>
      <c r="T61">
        <f t="shared" si="16"/>
        <v>596.42857142857156</v>
      </c>
      <c r="U61">
        <f t="shared" si="31"/>
        <v>441</v>
      </c>
    </row>
    <row r="62" spans="1:32" x14ac:dyDescent="0.35">
      <c r="A62">
        <v>101</v>
      </c>
      <c r="B62">
        <v>16</v>
      </c>
      <c r="C62" s="4">
        <v>101</v>
      </c>
      <c r="D62" s="4">
        <f t="shared" si="17"/>
        <v>1616</v>
      </c>
      <c r="E62" s="4">
        <f t="shared" si="18"/>
        <v>256</v>
      </c>
      <c r="F62" s="4">
        <f t="shared" si="19"/>
        <v>11611</v>
      </c>
      <c r="G62" s="4">
        <f t="shared" si="26"/>
        <v>136</v>
      </c>
      <c r="H62" s="4">
        <f t="shared" si="27"/>
        <v>1229</v>
      </c>
      <c r="I62" s="4">
        <f t="shared" si="28"/>
        <v>1496</v>
      </c>
      <c r="J62" s="4">
        <f t="shared" si="29"/>
        <v>18496</v>
      </c>
      <c r="K62" s="4">
        <f t="shared" si="30"/>
        <v>185776</v>
      </c>
      <c r="L62" s="4">
        <f t="shared" si="20"/>
        <v>167144</v>
      </c>
      <c r="M62" s="4">
        <f t="shared" si="21"/>
        <v>18632</v>
      </c>
      <c r="N62" s="4">
        <f t="shared" si="22"/>
        <v>23936</v>
      </c>
      <c r="O62" s="4">
        <f t="shared" si="23"/>
        <v>18496</v>
      </c>
      <c r="P62" s="4">
        <f t="shared" si="24"/>
        <v>5440</v>
      </c>
      <c r="Q62">
        <f t="shared" si="25"/>
        <v>3.4249999999999998</v>
      </c>
      <c r="R62">
        <f t="shared" si="9"/>
        <v>1233</v>
      </c>
      <c r="S62">
        <f t="shared" si="15"/>
        <v>702</v>
      </c>
      <c r="T62">
        <f t="shared" si="16"/>
        <v>531</v>
      </c>
      <c r="U62">
        <f t="shared" si="31"/>
        <v>465</v>
      </c>
    </row>
    <row r="63" spans="1:32" x14ac:dyDescent="0.35">
      <c r="A63">
        <v>100</v>
      </c>
      <c r="B63">
        <v>17</v>
      </c>
      <c r="C63" s="4">
        <v>100</v>
      </c>
      <c r="D63" s="4">
        <f t="shared" si="17"/>
        <v>1700</v>
      </c>
      <c r="E63" s="4">
        <f t="shared" si="18"/>
        <v>289</v>
      </c>
      <c r="F63" s="4">
        <f t="shared" si="19"/>
        <v>13311</v>
      </c>
      <c r="G63" s="4">
        <f t="shared" si="26"/>
        <v>153</v>
      </c>
      <c r="H63" s="4">
        <f t="shared" si="27"/>
        <v>1329</v>
      </c>
      <c r="I63" s="4">
        <f t="shared" si="28"/>
        <v>1785</v>
      </c>
      <c r="J63" s="4">
        <f t="shared" si="29"/>
        <v>23409</v>
      </c>
      <c r="K63" s="4">
        <f t="shared" si="30"/>
        <v>226287</v>
      </c>
      <c r="L63" s="4">
        <f t="shared" si="20"/>
        <v>203337</v>
      </c>
      <c r="M63" s="4">
        <f t="shared" si="21"/>
        <v>22950</v>
      </c>
      <c r="N63" s="4">
        <f t="shared" si="22"/>
        <v>30345</v>
      </c>
      <c r="O63" s="4">
        <f t="shared" si="23"/>
        <v>23409</v>
      </c>
      <c r="P63" s="4">
        <f t="shared" si="24"/>
        <v>6936</v>
      </c>
      <c r="Q63">
        <f t="shared" si="25"/>
        <v>3.3088235294117645</v>
      </c>
      <c r="R63">
        <f t="shared" si="9"/>
        <v>1191.1764705882351</v>
      </c>
      <c r="S63">
        <f t="shared" si="15"/>
        <v>749</v>
      </c>
      <c r="T63">
        <f t="shared" si="16"/>
        <v>442.17647058823513</v>
      </c>
      <c r="U63">
        <f t="shared" si="31"/>
        <v>486</v>
      </c>
    </row>
    <row r="64" spans="1:32" x14ac:dyDescent="0.35">
      <c r="A64">
        <v>105</v>
      </c>
      <c r="B64">
        <v>18</v>
      </c>
      <c r="C64" s="4">
        <v>105</v>
      </c>
      <c r="D64" s="4">
        <f t="shared" si="17"/>
        <v>1890</v>
      </c>
      <c r="E64" s="4">
        <f t="shared" si="18"/>
        <v>324</v>
      </c>
      <c r="F64" s="4">
        <f t="shared" si="19"/>
        <v>15201</v>
      </c>
      <c r="G64" s="4">
        <f t="shared" si="26"/>
        <v>171</v>
      </c>
      <c r="H64" s="4">
        <f t="shared" si="27"/>
        <v>1434</v>
      </c>
      <c r="I64" s="4">
        <f t="shared" si="28"/>
        <v>2109</v>
      </c>
      <c r="J64" s="4">
        <f t="shared" si="29"/>
        <v>29241</v>
      </c>
      <c r="K64" s="4">
        <f t="shared" si="30"/>
        <v>273618</v>
      </c>
      <c r="L64" s="4">
        <f t="shared" si="20"/>
        <v>245214</v>
      </c>
      <c r="M64" s="4">
        <f t="shared" si="21"/>
        <v>28404</v>
      </c>
      <c r="N64" s="4">
        <f t="shared" si="22"/>
        <v>37962</v>
      </c>
      <c r="O64" s="4">
        <f t="shared" si="23"/>
        <v>29241</v>
      </c>
      <c r="P64" s="4">
        <f t="shared" si="24"/>
        <v>8721</v>
      </c>
      <c r="Q64">
        <f t="shared" si="25"/>
        <v>3.2569659442724457</v>
      </c>
      <c r="R64">
        <f t="shared" si="9"/>
        <v>1172.5077399380805</v>
      </c>
      <c r="S64">
        <f t="shared" si="15"/>
        <v>796</v>
      </c>
      <c r="T64">
        <f t="shared" si="16"/>
        <v>376.50773993808048</v>
      </c>
      <c r="U64">
        <f t="shared" si="31"/>
        <v>504</v>
      </c>
    </row>
    <row r="65" spans="1:21" x14ac:dyDescent="0.35">
      <c r="A65">
        <v>111</v>
      </c>
      <c r="B65">
        <v>19</v>
      </c>
      <c r="C65" s="4">
        <v>111</v>
      </c>
      <c r="D65" s="4">
        <f t="shared" si="17"/>
        <v>2109</v>
      </c>
      <c r="E65" s="4">
        <f t="shared" si="18"/>
        <v>361</v>
      </c>
      <c r="F65" s="4">
        <f t="shared" si="19"/>
        <v>17310</v>
      </c>
      <c r="G65" s="4">
        <f t="shared" si="26"/>
        <v>190</v>
      </c>
      <c r="H65" s="4">
        <f t="shared" si="27"/>
        <v>1545</v>
      </c>
      <c r="I65" s="4">
        <f t="shared" si="28"/>
        <v>2470</v>
      </c>
      <c r="J65" s="4">
        <f t="shared" si="29"/>
        <v>36100</v>
      </c>
      <c r="K65" s="4">
        <f t="shared" si="30"/>
        <v>328890</v>
      </c>
      <c r="L65" s="4">
        <f t="shared" si="20"/>
        <v>293550</v>
      </c>
      <c r="M65" s="4">
        <f t="shared" si="21"/>
        <v>35340</v>
      </c>
      <c r="N65" s="4">
        <f t="shared" si="22"/>
        <v>46930</v>
      </c>
      <c r="O65" s="4">
        <f t="shared" si="23"/>
        <v>36100</v>
      </c>
      <c r="P65" s="4">
        <f t="shared" si="24"/>
        <v>10830</v>
      </c>
      <c r="Q65">
        <f t="shared" si="25"/>
        <v>3.263157894736842</v>
      </c>
      <c r="R65">
        <f t="shared" si="9"/>
        <v>1174.7368421052631</v>
      </c>
      <c r="S65">
        <f t="shared" si="15"/>
        <v>843</v>
      </c>
      <c r="T65">
        <f t="shared" si="16"/>
        <v>331.73684210526312</v>
      </c>
      <c r="U65">
        <f t="shared" si="31"/>
        <v>519</v>
      </c>
    </row>
    <row r="66" spans="1:21" x14ac:dyDescent="0.35">
      <c r="A66">
        <v>113</v>
      </c>
      <c r="B66">
        <v>20</v>
      </c>
      <c r="C66" s="4">
        <v>113</v>
      </c>
      <c r="D66" s="4">
        <f t="shared" si="17"/>
        <v>2260</v>
      </c>
      <c r="E66" s="4">
        <f t="shared" si="18"/>
        <v>400</v>
      </c>
      <c r="F66" s="4">
        <f t="shared" si="19"/>
        <v>19570</v>
      </c>
      <c r="G66" s="4">
        <f t="shared" si="26"/>
        <v>210</v>
      </c>
      <c r="H66" s="4">
        <f t="shared" si="27"/>
        <v>1658</v>
      </c>
      <c r="I66" s="4">
        <f t="shared" si="28"/>
        <v>2870</v>
      </c>
      <c r="J66" s="4">
        <f t="shared" si="29"/>
        <v>44100</v>
      </c>
      <c r="K66" s="4">
        <f t="shared" si="30"/>
        <v>391400</v>
      </c>
      <c r="L66" s="4">
        <f t="shared" si="20"/>
        <v>348180</v>
      </c>
      <c r="M66" s="4">
        <f t="shared" si="21"/>
        <v>43220</v>
      </c>
      <c r="N66" s="4">
        <f t="shared" si="22"/>
        <v>57400</v>
      </c>
      <c r="O66" s="4">
        <f t="shared" si="23"/>
        <v>44100</v>
      </c>
      <c r="P66" s="4">
        <f t="shared" si="24"/>
        <v>13300</v>
      </c>
      <c r="Q66">
        <f t="shared" si="25"/>
        <v>3.2496240601503761</v>
      </c>
      <c r="R66">
        <f t="shared" si="9"/>
        <v>1169.8646616541355</v>
      </c>
      <c r="S66">
        <f t="shared" si="15"/>
        <v>890</v>
      </c>
      <c r="T66">
        <f t="shared" si="16"/>
        <v>279.86466165413549</v>
      </c>
      <c r="U66">
        <f t="shared" si="31"/>
        <v>532</v>
      </c>
    </row>
    <row r="67" spans="1:21" x14ac:dyDescent="0.35">
      <c r="A67">
        <v>115</v>
      </c>
      <c r="B67">
        <v>21</v>
      </c>
      <c r="C67" s="4">
        <v>115</v>
      </c>
      <c r="D67" s="4">
        <f t="shared" si="17"/>
        <v>2415</v>
      </c>
      <c r="E67" s="4">
        <f t="shared" si="18"/>
        <v>441</v>
      </c>
      <c r="F67" s="4">
        <f t="shared" si="19"/>
        <v>21985</v>
      </c>
      <c r="G67" s="4">
        <f t="shared" si="26"/>
        <v>231</v>
      </c>
      <c r="H67" s="4">
        <f t="shared" si="27"/>
        <v>1773</v>
      </c>
      <c r="I67" s="4">
        <f t="shared" si="28"/>
        <v>3311</v>
      </c>
      <c r="J67" s="4">
        <f t="shared" si="29"/>
        <v>53361</v>
      </c>
      <c r="K67" s="4">
        <f t="shared" si="30"/>
        <v>461685</v>
      </c>
      <c r="L67" s="4">
        <f t="shared" si="20"/>
        <v>409563</v>
      </c>
      <c r="M67" s="4">
        <f t="shared" si="21"/>
        <v>52122</v>
      </c>
      <c r="N67" s="4">
        <f t="shared" si="22"/>
        <v>69531</v>
      </c>
      <c r="O67" s="4">
        <f t="shared" si="23"/>
        <v>53361</v>
      </c>
      <c r="P67" s="4">
        <f t="shared" si="24"/>
        <v>16170</v>
      </c>
      <c r="Q67">
        <f t="shared" si="25"/>
        <v>3.2233766233766232</v>
      </c>
      <c r="R67">
        <f t="shared" si="9"/>
        <v>1160.4155844155844</v>
      </c>
      <c r="S67">
        <f t="shared" si="15"/>
        <v>936</v>
      </c>
      <c r="T67">
        <f t="shared" si="16"/>
        <v>224.41558441558436</v>
      </c>
      <c r="U67">
        <f t="shared" si="31"/>
        <v>543</v>
      </c>
    </row>
    <row r="68" spans="1:21" x14ac:dyDescent="0.35">
      <c r="A68">
        <v>119</v>
      </c>
      <c r="B68">
        <v>22</v>
      </c>
      <c r="C68" s="4">
        <v>119</v>
      </c>
      <c r="D68" s="4">
        <f t="shared" si="17"/>
        <v>2618</v>
      </c>
      <c r="E68" s="4">
        <f t="shared" si="18"/>
        <v>484</v>
      </c>
      <c r="F68" s="4">
        <f t="shared" si="19"/>
        <v>24603</v>
      </c>
      <c r="G68" s="4">
        <f t="shared" si="26"/>
        <v>253</v>
      </c>
      <c r="H68" s="4">
        <f t="shared" si="27"/>
        <v>1892</v>
      </c>
      <c r="I68" s="4">
        <f t="shared" si="28"/>
        <v>3795</v>
      </c>
      <c r="J68" s="4">
        <f t="shared" si="29"/>
        <v>64009</v>
      </c>
      <c r="K68" s="4">
        <f t="shared" si="30"/>
        <v>541266</v>
      </c>
      <c r="L68" s="4">
        <f t="shared" si="20"/>
        <v>478676</v>
      </c>
      <c r="M68" s="4">
        <f t="shared" si="21"/>
        <v>62590</v>
      </c>
      <c r="N68" s="4">
        <f t="shared" si="22"/>
        <v>83490</v>
      </c>
      <c r="O68" s="4">
        <f t="shared" si="23"/>
        <v>64009</v>
      </c>
      <c r="P68" s="4">
        <f t="shared" si="24"/>
        <v>19481</v>
      </c>
      <c r="Q68">
        <f t="shared" si="25"/>
        <v>3.2128740824392996</v>
      </c>
      <c r="R68">
        <f t="shared" si="9"/>
        <v>1156.6346696781479</v>
      </c>
      <c r="S68">
        <f t="shared" si="15"/>
        <v>983</v>
      </c>
      <c r="T68">
        <f t="shared" si="16"/>
        <v>173.63466967814793</v>
      </c>
      <c r="U68">
        <f t="shared" si="31"/>
        <v>552</v>
      </c>
    </row>
    <row r="69" spans="1:21" x14ac:dyDescent="0.35">
      <c r="A69">
        <v>124</v>
      </c>
      <c r="B69">
        <v>23</v>
      </c>
      <c r="C69" s="4">
        <v>124</v>
      </c>
      <c r="D69" s="4">
        <f t="shared" si="17"/>
        <v>2852</v>
      </c>
      <c r="E69" s="4">
        <f t="shared" si="18"/>
        <v>529</v>
      </c>
      <c r="F69" s="4">
        <f t="shared" si="19"/>
        <v>27455</v>
      </c>
      <c r="G69" s="4">
        <f t="shared" si="26"/>
        <v>276</v>
      </c>
      <c r="H69" s="4">
        <f t="shared" si="27"/>
        <v>2016</v>
      </c>
      <c r="I69" s="4">
        <f t="shared" si="28"/>
        <v>4324</v>
      </c>
      <c r="J69" s="4">
        <f t="shared" si="29"/>
        <v>76176</v>
      </c>
      <c r="K69" s="4">
        <f t="shared" si="30"/>
        <v>631465</v>
      </c>
      <c r="L69" s="4">
        <f t="shared" si="20"/>
        <v>556416</v>
      </c>
      <c r="M69" s="4">
        <f t="shared" si="21"/>
        <v>75049</v>
      </c>
      <c r="N69" s="4">
        <f t="shared" si="22"/>
        <v>99452</v>
      </c>
      <c r="O69" s="4">
        <f t="shared" si="23"/>
        <v>76176</v>
      </c>
      <c r="P69" s="4">
        <f t="shared" si="24"/>
        <v>23276</v>
      </c>
      <c r="Q69">
        <f t="shared" si="25"/>
        <v>3.2243083003952568</v>
      </c>
      <c r="R69">
        <f t="shared" si="9"/>
        <v>1160.7509881422925</v>
      </c>
      <c r="S69">
        <f t="shared" si="15"/>
        <v>1029</v>
      </c>
      <c r="T69">
        <f t="shared" si="16"/>
        <v>131.7509881422925</v>
      </c>
      <c r="U69">
        <f t="shared" si="31"/>
        <v>559</v>
      </c>
    </row>
    <row r="70" spans="1:21" x14ac:dyDescent="0.35">
      <c r="A70">
        <v>125</v>
      </c>
      <c r="B70">
        <v>24</v>
      </c>
      <c r="C70" s="4">
        <v>125</v>
      </c>
      <c r="D70" s="4">
        <f t="shared" si="17"/>
        <v>3000</v>
      </c>
      <c r="E70" s="4">
        <f t="shared" si="18"/>
        <v>576</v>
      </c>
      <c r="F70" s="4">
        <f t="shared" si="19"/>
        <v>30455</v>
      </c>
      <c r="G70" s="4">
        <f t="shared" si="26"/>
        <v>300</v>
      </c>
      <c r="H70" s="4">
        <f t="shared" si="27"/>
        <v>2141</v>
      </c>
      <c r="I70" s="4">
        <f t="shared" si="28"/>
        <v>4900</v>
      </c>
      <c r="J70" s="4">
        <f t="shared" si="29"/>
        <v>90000</v>
      </c>
      <c r="K70" s="4">
        <f t="shared" si="30"/>
        <v>730920</v>
      </c>
      <c r="L70" s="4">
        <f t="shared" si="20"/>
        <v>642300</v>
      </c>
      <c r="M70" s="4">
        <f t="shared" si="21"/>
        <v>88620</v>
      </c>
      <c r="N70" s="4">
        <f t="shared" si="22"/>
        <v>117600</v>
      </c>
      <c r="O70" s="4">
        <f t="shared" si="23"/>
        <v>90000</v>
      </c>
      <c r="P70" s="4">
        <f t="shared" si="24"/>
        <v>27600</v>
      </c>
      <c r="Q70">
        <f t="shared" si="25"/>
        <v>3.2108695652173913</v>
      </c>
      <c r="R70">
        <f t="shared" si="9"/>
        <v>1155.9130434782608</v>
      </c>
      <c r="S70">
        <f t="shared" si="15"/>
        <v>1075</v>
      </c>
      <c r="T70">
        <f t="shared" si="16"/>
        <v>80.913043478260761</v>
      </c>
      <c r="U70">
        <f t="shared" si="31"/>
        <v>565</v>
      </c>
    </row>
    <row r="71" spans="1:21" x14ac:dyDescent="0.35">
      <c r="A71">
        <v>105</v>
      </c>
      <c r="B71">
        <v>25</v>
      </c>
      <c r="C71" s="4">
        <v>105</v>
      </c>
      <c r="D71" s="4">
        <f t="shared" si="17"/>
        <v>2625</v>
      </c>
      <c r="E71" s="4">
        <f t="shared" si="18"/>
        <v>625</v>
      </c>
      <c r="F71" s="4">
        <f t="shared" si="19"/>
        <v>33080</v>
      </c>
      <c r="G71" s="4">
        <f t="shared" si="26"/>
        <v>325</v>
      </c>
      <c r="H71" s="4">
        <f t="shared" si="27"/>
        <v>2246</v>
      </c>
      <c r="I71" s="4">
        <f t="shared" si="28"/>
        <v>5525</v>
      </c>
      <c r="J71" s="4">
        <f t="shared" si="29"/>
        <v>105625</v>
      </c>
      <c r="K71" s="4">
        <f t="shared" si="30"/>
        <v>827000</v>
      </c>
      <c r="L71" s="4">
        <f t="shared" si="20"/>
        <v>729950</v>
      </c>
      <c r="M71" s="4">
        <f t="shared" si="21"/>
        <v>97050</v>
      </c>
      <c r="N71" s="4">
        <f t="shared" si="22"/>
        <v>138125</v>
      </c>
      <c r="O71" s="4">
        <f t="shared" si="23"/>
        <v>105625</v>
      </c>
      <c r="P71" s="4">
        <f t="shared" si="24"/>
        <v>32500</v>
      </c>
      <c r="Q71">
        <f t="shared" si="25"/>
        <v>2.9861538461538459</v>
      </c>
      <c r="R71">
        <f t="shared" si="9"/>
        <v>1075.0153846153846</v>
      </c>
      <c r="S71">
        <f t="shared" si="15"/>
        <v>1118</v>
      </c>
      <c r="T71">
        <f t="shared" si="16"/>
        <v>42.984615384615381</v>
      </c>
      <c r="U71">
        <f t="shared" si="31"/>
        <v>568</v>
      </c>
    </row>
    <row r="72" spans="1:21" x14ac:dyDescent="0.35">
      <c r="A72">
        <v>111</v>
      </c>
      <c r="B72">
        <v>26</v>
      </c>
      <c r="C72" s="4">
        <v>111</v>
      </c>
      <c r="D72" s="4">
        <f t="shared" si="17"/>
        <v>2886</v>
      </c>
      <c r="E72" s="4">
        <f t="shared" si="18"/>
        <v>676</v>
      </c>
      <c r="F72" s="4">
        <f t="shared" si="19"/>
        <v>35966</v>
      </c>
      <c r="G72" s="4">
        <f t="shared" si="26"/>
        <v>351</v>
      </c>
      <c r="H72" s="4">
        <f t="shared" si="27"/>
        <v>2357</v>
      </c>
      <c r="I72" s="4">
        <f t="shared" si="28"/>
        <v>6201</v>
      </c>
      <c r="J72" s="4">
        <f t="shared" si="29"/>
        <v>123201</v>
      </c>
      <c r="K72" s="4">
        <f t="shared" si="30"/>
        <v>935116</v>
      </c>
      <c r="L72" s="4">
        <f t="shared" si="20"/>
        <v>827307</v>
      </c>
      <c r="M72" s="4">
        <f t="shared" si="21"/>
        <v>107809</v>
      </c>
      <c r="N72" s="4">
        <f t="shared" si="22"/>
        <v>161226</v>
      </c>
      <c r="O72" s="4">
        <f t="shared" si="23"/>
        <v>123201</v>
      </c>
      <c r="P72" s="4">
        <f t="shared" si="24"/>
        <v>38025</v>
      </c>
      <c r="Q72">
        <f t="shared" si="25"/>
        <v>2.8352136752136752</v>
      </c>
      <c r="R72">
        <f t="shared" si="9"/>
        <v>1020.6769230769231</v>
      </c>
      <c r="S72">
        <f t="shared" si="15"/>
        <v>1159</v>
      </c>
      <c r="T72">
        <f t="shared" si="16"/>
        <v>138.32307692307688</v>
      </c>
      <c r="U72">
        <f t="shared" si="31"/>
        <v>570</v>
      </c>
    </row>
    <row r="73" spans="1:21" x14ac:dyDescent="0.35">
      <c r="A73">
        <v>137</v>
      </c>
      <c r="B73">
        <v>27</v>
      </c>
      <c r="C73" s="4">
        <v>137</v>
      </c>
      <c r="D73" s="4">
        <f t="shared" si="17"/>
        <v>3699</v>
      </c>
      <c r="E73" s="4">
        <f t="shared" si="18"/>
        <v>729</v>
      </c>
      <c r="F73" s="4">
        <f t="shared" si="19"/>
        <v>39665</v>
      </c>
      <c r="G73" s="4">
        <f t="shared" si="26"/>
        <v>378</v>
      </c>
      <c r="H73" s="4">
        <f t="shared" si="27"/>
        <v>2494</v>
      </c>
      <c r="I73" s="4">
        <f t="shared" si="28"/>
        <v>6930</v>
      </c>
      <c r="J73" s="4">
        <f t="shared" si="29"/>
        <v>142884</v>
      </c>
      <c r="K73" s="4">
        <f t="shared" si="30"/>
        <v>1070955</v>
      </c>
      <c r="L73" s="4">
        <f t="shared" si="20"/>
        <v>942732</v>
      </c>
      <c r="M73" s="4">
        <f t="shared" si="21"/>
        <v>128223</v>
      </c>
      <c r="N73" s="4">
        <f t="shared" si="22"/>
        <v>187110</v>
      </c>
      <c r="O73" s="4">
        <f t="shared" si="23"/>
        <v>142884</v>
      </c>
      <c r="P73" s="4">
        <f t="shared" si="24"/>
        <v>44226</v>
      </c>
      <c r="Q73">
        <f t="shared" si="25"/>
        <v>2.8992673992673992</v>
      </c>
      <c r="R73">
        <f t="shared" si="9"/>
        <v>1043.7362637362637</v>
      </c>
      <c r="S73">
        <f t="shared" si="15"/>
        <v>1158</v>
      </c>
      <c r="T73">
        <f t="shared" si="16"/>
        <v>114.26373626373629</v>
      </c>
      <c r="U73">
        <f t="shared" si="31"/>
        <v>575</v>
      </c>
    </row>
    <row r="74" spans="1:21" x14ac:dyDescent="0.35">
      <c r="A74">
        <v>140</v>
      </c>
      <c r="B74">
        <v>28</v>
      </c>
      <c r="C74" s="4">
        <v>140</v>
      </c>
      <c r="D74" s="4">
        <f t="shared" si="17"/>
        <v>3920</v>
      </c>
      <c r="E74" s="4">
        <f t="shared" si="18"/>
        <v>784</v>
      </c>
      <c r="F74" s="4">
        <f t="shared" si="19"/>
        <v>43585</v>
      </c>
      <c r="G74" s="4">
        <f t="shared" si="26"/>
        <v>406</v>
      </c>
      <c r="H74" s="4">
        <f t="shared" si="27"/>
        <v>2634</v>
      </c>
      <c r="I74" s="4">
        <f t="shared" si="28"/>
        <v>7714</v>
      </c>
      <c r="J74" s="4">
        <f t="shared" si="29"/>
        <v>164836</v>
      </c>
      <c r="K74" s="4">
        <f t="shared" si="30"/>
        <v>1220380</v>
      </c>
      <c r="L74" s="4">
        <f t="shared" si="20"/>
        <v>1069404</v>
      </c>
      <c r="M74" s="4">
        <f t="shared" si="21"/>
        <v>150976</v>
      </c>
      <c r="N74" s="4">
        <f t="shared" si="22"/>
        <v>215992</v>
      </c>
      <c r="O74" s="4">
        <f t="shared" si="23"/>
        <v>164836</v>
      </c>
      <c r="P74" s="4">
        <f t="shared" si="24"/>
        <v>51156</v>
      </c>
      <c r="Q74">
        <f t="shared" si="25"/>
        <v>2.9512862616310893</v>
      </c>
      <c r="R74">
        <f t="shared" si="9"/>
        <v>1062.4630541871923</v>
      </c>
      <c r="S74">
        <f t="shared" si="15"/>
        <v>1157</v>
      </c>
      <c r="T74">
        <f t="shared" si="16"/>
        <v>94.536945812807744</v>
      </c>
      <c r="U74">
        <f t="shared" si="31"/>
        <v>538</v>
      </c>
    </row>
    <row r="75" spans="1:21" x14ac:dyDescent="0.35">
      <c r="A75">
        <v>120</v>
      </c>
      <c r="B75">
        <v>29</v>
      </c>
      <c r="C75" s="4">
        <v>120</v>
      </c>
      <c r="D75" s="4">
        <f t="shared" si="17"/>
        <v>3480</v>
      </c>
      <c r="E75" s="4">
        <f t="shared" si="18"/>
        <v>841</v>
      </c>
      <c r="F75" s="4">
        <f t="shared" si="19"/>
        <v>47065</v>
      </c>
      <c r="G75" s="4">
        <f t="shared" si="26"/>
        <v>435</v>
      </c>
      <c r="H75" s="4">
        <f t="shared" si="27"/>
        <v>2754</v>
      </c>
      <c r="I75" s="4">
        <f t="shared" si="28"/>
        <v>8555</v>
      </c>
      <c r="J75" s="4">
        <f t="shared" si="29"/>
        <v>189225</v>
      </c>
      <c r="K75" s="4">
        <f t="shared" si="30"/>
        <v>1364885</v>
      </c>
      <c r="L75" s="4">
        <f t="shared" si="20"/>
        <v>1197990</v>
      </c>
      <c r="M75" s="4">
        <f t="shared" si="21"/>
        <v>166895</v>
      </c>
      <c r="N75" s="4">
        <f t="shared" si="22"/>
        <v>248095</v>
      </c>
      <c r="O75" s="4">
        <f t="shared" si="23"/>
        <v>189225</v>
      </c>
      <c r="P75" s="4">
        <f t="shared" si="24"/>
        <v>58870</v>
      </c>
      <c r="Q75">
        <f t="shared" si="25"/>
        <v>2.8349753694581281</v>
      </c>
      <c r="R75">
        <f t="shared" si="9"/>
        <v>1020.5911330049262</v>
      </c>
      <c r="S75">
        <f t="shared" si="15"/>
        <v>1159</v>
      </c>
      <c r="T75">
        <f t="shared" si="16"/>
        <v>138.40886699507382</v>
      </c>
      <c r="U75">
        <f t="shared" si="31"/>
        <v>500</v>
      </c>
    </row>
    <row r="76" spans="1:21" x14ac:dyDescent="0.35">
      <c r="A76">
        <v>106</v>
      </c>
      <c r="B76">
        <v>30</v>
      </c>
      <c r="C76" s="4">
        <v>106</v>
      </c>
      <c r="D76" s="4">
        <f t="shared" si="17"/>
        <v>3180</v>
      </c>
      <c r="E76" s="4">
        <f t="shared" si="18"/>
        <v>900</v>
      </c>
      <c r="F76" s="4">
        <f t="shared" si="19"/>
        <v>50245</v>
      </c>
      <c r="G76" s="4">
        <f t="shared" si="26"/>
        <v>465</v>
      </c>
      <c r="H76" s="4">
        <f t="shared" si="27"/>
        <v>2860</v>
      </c>
      <c r="I76" s="4">
        <f t="shared" si="28"/>
        <v>9455</v>
      </c>
      <c r="J76" s="4">
        <f t="shared" si="29"/>
        <v>216225</v>
      </c>
      <c r="K76" s="4">
        <f t="shared" si="30"/>
        <v>1507350</v>
      </c>
      <c r="L76" s="4">
        <f t="shared" si="20"/>
        <v>1329900</v>
      </c>
      <c r="M76" s="4">
        <f t="shared" si="21"/>
        <v>177450</v>
      </c>
      <c r="N76" s="4">
        <f t="shared" si="22"/>
        <v>283650</v>
      </c>
      <c r="O76" s="4">
        <f t="shared" si="23"/>
        <v>216225</v>
      </c>
      <c r="P76" s="4">
        <f t="shared" si="24"/>
        <v>67425</v>
      </c>
      <c r="Q76">
        <f t="shared" si="25"/>
        <v>2.6318131256952171</v>
      </c>
      <c r="R76">
        <f t="shared" si="9"/>
        <v>947.45272525027815</v>
      </c>
      <c r="S76">
        <f t="shared" si="15"/>
        <v>1155</v>
      </c>
      <c r="T76">
        <f t="shared" si="16"/>
        <v>207.54727474972185</v>
      </c>
      <c r="U76">
        <f t="shared" si="31"/>
        <v>472</v>
      </c>
    </row>
    <row r="77" spans="1:21" x14ac:dyDescent="0.35">
      <c r="A77">
        <v>150</v>
      </c>
      <c r="B77">
        <v>31</v>
      </c>
      <c r="C77" s="4">
        <v>150</v>
      </c>
      <c r="D77" s="4">
        <f t="shared" si="17"/>
        <v>4650</v>
      </c>
      <c r="E77" s="4">
        <f t="shared" si="18"/>
        <v>961</v>
      </c>
      <c r="F77" s="4">
        <f t="shared" si="19"/>
        <v>54895</v>
      </c>
      <c r="G77" s="4">
        <f t="shared" si="26"/>
        <v>496</v>
      </c>
      <c r="H77" s="4">
        <f t="shared" si="27"/>
        <v>3010</v>
      </c>
      <c r="I77" s="4">
        <f t="shared" si="28"/>
        <v>10416</v>
      </c>
      <c r="J77" s="4">
        <f t="shared" si="29"/>
        <v>246016</v>
      </c>
      <c r="K77" s="4">
        <f t="shared" si="30"/>
        <v>1701745</v>
      </c>
      <c r="L77" s="4">
        <f t="shared" si="20"/>
        <v>1492960</v>
      </c>
      <c r="M77" s="4">
        <f t="shared" si="21"/>
        <v>208785</v>
      </c>
      <c r="N77" s="4">
        <f t="shared" si="22"/>
        <v>322896</v>
      </c>
      <c r="O77" s="4">
        <f t="shared" si="23"/>
        <v>246016</v>
      </c>
      <c r="P77" s="4">
        <f t="shared" si="24"/>
        <v>76880</v>
      </c>
      <c r="Q77">
        <f t="shared" si="25"/>
        <v>2.715725806451613</v>
      </c>
      <c r="R77">
        <f t="shared" si="9"/>
        <v>977.66129032258073</v>
      </c>
      <c r="S77">
        <f t="shared" si="15"/>
        <v>1149</v>
      </c>
      <c r="T77">
        <f t="shared" si="16"/>
        <v>171.33870967741927</v>
      </c>
      <c r="U77">
        <f t="shared" si="31"/>
        <v>445</v>
      </c>
    </row>
    <row r="78" spans="1:21" x14ac:dyDescent="0.35">
      <c r="A78">
        <v>156</v>
      </c>
      <c r="B78">
        <v>32</v>
      </c>
      <c r="C78" s="4">
        <v>156</v>
      </c>
      <c r="D78" s="4">
        <f t="shared" si="17"/>
        <v>4992</v>
      </c>
      <c r="E78" s="4">
        <f t="shared" si="18"/>
        <v>1024</v>
      </c>
      <c r="F78" s="4">
        <f t="shared" si="19"/>
        <v>59887</v>
      </c>
      <c r="G78" s="4">
        <f t="shared" si="26"/>
        <v>528</v>
      </c>
      <c r="H78" s="4">
        <f t="shared" si="27"/>
        <v>3166</v>
      </c>
      <c r="I78" s="4">
        <f t="shared" si="28"/>
        <v>11440</v>
      </c>
      <c r="J78" s="4">
        <f t="shared" si="29"/>
        <v>278784</v>
      </c>
      <c r="K78" s="4">
        <f t="shared" si="30"/>
        <v>1916384</v>
      </c>
      <c r="L78" s="4">
        <f t="shared" si="20"/>
        <v>1671648</v>
      </c>
      <c r="M78" s="4">
        <f t="shared" si="21"/>
        <v>244736</v>
      </c>
      <c r="N78" s="4">
        <f t="shared" si="22"/>
        <v>366080</v>
      </c>
      <c r="O78" s="4">
        <f t="shared" si="23"/>
        <v>278784</v>
      </c>
      <c r="P78" s="4">
        <f t="shared" si="24"/>
        <v>87296</v>
      </c>
      <c r="Q78">
        <f t="shared" si="25"/>
        <v>2.8035190615835779</v>
      </c>
      <c r="R78">
        <f t="shared" si="9"/>
        <v>1009.2668621700881</v>
      </c>
      <c r="S78">
        <f t="shared" si="15"/>
        <v>1142</v>
      </c>
      <c r="T78">
        <f t="shared" si="16"/>
        <v>132.73313782991193</v>
      </c>
      <c r="U78">
        <f t="shared" si="31"/>
        <v>416</v>
      </c>
    </row>
    <row r="79" spans="1:21" x14ac:dyDescent="0.35">
      <c r="A79">
        <v>148</v>
      </c>
      <c r="B79">
        <v>33</v>
      </c>
      <c r="C79" s="4">
        <v>148</v>
      </c>
      <c r="D79" s="4">
        <f t="shared" si="17"/>
        <v>4884</v>
      </c>
      <c r="E79" s="4">
        <f t="shared" si="18"/>
        <v>1089</v>
      </c>
      <c r="F79" s="4">
        <f t="shared" si="19"/>
        <v>64771</v>
      </c>
      <c r="G79" s="4">
        <f t="shared" si="26"/>
        <v>561</v>
      </c>
      <c r="H79" s="4">
        <f t="shared" si="27"/>
        <v>3314</v>
      </c>
      <c r="I79" s="4">
        <f t="shared" si="28"/>
        <v>12529</v>
      </c>
      <c r="J79" s="4">
        <f t="shared" si="29"/>
        <v>314721</v>
      </c>
      <c r="K79" s="4">
        <f t="shared" si="30"/>
        <v>2137443</v>
      </c>
      <c r="L79" s="4">
        <f t="shared" si="20"/>
        <v>1859154</v>
      </c>
      <c r="M79" s="4">
        <f t="shared" si="21"/>
        <v>278289</v>
      </c>
      <c r="N79" s="4">
        <f t="shared" si="22"/>
        <v>413457</v>
      </c>
      <c r="O79" s="4">
        <f t="shared" si="23"/>
        <v>314721</v>
      </c>
      <c r="P79" s="4">
        <f t="shared" si="24"/>
        <v>98736</v>
      </c>
      <c r="Q79">
        <f t="shared" si="25"/>
        <v>2.8185160427807485</v>
      </c>
      <c r="R79">
        <f t="shared" si="9"/>
        <v>1014.6657754010695</v>
      </c>
      <c r="S79">
        <f t="shared" si="15"/>
        <v>1135</v>
      </c>
      <c r="T79">
        <f t="shared" si="16"/>
        <v>120.33422459893052</v>
      </c>
      <c r="U79">
        <f t="shared" si="31"/>
        <v>384</v>
      </c>
    </row>
    <row r="80" spans="1:21" x14ac:dyDescent="0.35">
      <c r="A80">
        <v>112</v>
      </c>
      <c r="B80">
        <v>34</v>
      </c>
      <c r="C80" s="4">
        <v>112</v>
      </c>
      <c r="D80" s="4">
        <f t="shared" si="17"/>
        <v>3808</v>
      </c>
      <c r="E80" s="4">
        <f t="shared" si="18"/>
        <v>1156</v>
      </c>
      <c r="F80" s="4">
        <f t="shared" si="19"/>
        <v>68579</v>
      </c>
      <c r="G80" s="4">
        <f t="shared" si="26"/>
        <v>595</v>
      </c>
      <c r="H80" s="4">
        <f t="shared" si="27"/>
        <v>3426</v>
      </c>
      <c r="I80" s="4">
        <f t="shared" si="28"/>
        <v>13685</v>
      </c>
      <c r="J80" s="4">
        <f t="shared" si="29"/>
        <v>354025</v>
      </c>
      <c r="K80" s="4">
        <f t="shared" si="30"/>
        <v>2331686</v>
      </c>
      <c r="L80" s="4">
        <f t="shared" si="20"/>
        <v>2038470</v>
      </c>
      <c r="M80" s="4">
        <f t="shared" si="21"/>
        <v>293216</v>
      </c>
      <c r="N80" s="4">
        <f t="shared" si="22"/>
        <v>465290</v>
      </c>
      <c r="O80" s="4">
        <f t="shared" si="23"/>
        <v>354025</v>
      </c>
      <c r="P80" s="4">
        <f t="shared" si="24"/>
        <v>111265</v>
      </c>
      <c r="Q80">
        <f t="shared" si="25"/>
        <v>2.6352941176470588</v>
      </c>
      <c r="R80">
        <f t="shared" si="9"/>
        <v>948.70588235294122</v>
      </c>
      <c r="S80">
        <f t="shared" si="15"/>
        <v>1124</v>
      </c>
      <c r="T80">
        <f t="shared" si="16"/>
        <v>175.29411764705878</v>
      </c>
      <c r="U80">
        <f t="shared" si="31"/>
        <v>353</v>
      </c>
    </row>
    <row r="81" spans="1:21" x14ac:dyDescent="0.35">
      <c r="A81">
        <v>154</v>
      </c>
      <c r="B81">
        <v>35</v>
      </c>
      <c r="C81" s="4">
        <v>154</v>
      </c>
      <c r="D81" s="4">
        <f t="shared" si="17"/>
        <v>5390</v>
      </c>
      <c r="E81" s="4">
        <f t="shared" si="18"/>
        <v>1225</v>
      </c>
      <c r="F81" s="4">
        <f t="shared" si="19"/>
        <v>73969</v>
      </c>
      <c r="G81" s="4">
        <f t="shared" si="26"/>
        <v>630</v>
      </c>
      <c r="H81" s="4">
        <f t="shared" si="27"/>
        <v>3580</v>
      </c>
      <c r="I81" s="4">
        <f t="shared" si="28"/>
        <v>14910</v>
      </c>
      <c r="J81" s="4">
        <f t="shared" si="29"/>
        <v>396900</v>
      </c>
      <c r="K81" s="4">
        <f t="shared" si="30"/>
        <v>2588915</v>
      </c>
      <c r="L81" s="4">
        <f t="shared" si="20"/>
        <v>2255400</v>
      </c>
      <c r="M81" s="4">
        <f t="shared" si="21"/>
        <v>333515</v>
      </c>
      <c r="N81" s="4">
        <f t="shared" si="22"/>
        <v>521850</v>
      </c>
      <c r="O81" s="4">
        <f t="shared" si="23"/>
        <v>396900</v>
      </c>
      <c r="P81" s="4">
        <f t="shared" si="24"/>
        <v>124950</v>
      </c>
      <c r="Q81">
        <f t="shared" si="25"/>
        <v>2.6691876750700279</v>
      </c>
      <c r="R81">
        <f t="shared" si="9"/>
        <v>960.90756302521004</v>
      </c>
      <c r="S81">
        <f t="shared" si="15"/>
        <v>1113</v>
      </c>
      <c r="T81">
        <f t="shared" si="16"/>
        <v>152.09243697478996</v>
      </c>
      <c r="U81">
        <f t="shared" si="31"/>
        <v>326</v>
      </c>
    </row>
    <row r="82" spans="1:21" x14ac:dyDescent="0.35">
      <c r="A82">
        <v>165</v>
      </c>
      <c r="B82">
        <v>36</v>
      </c>
      <c r="C82" s="4">
        <v>165</v>
      </c>
      <c r="D82" s="4">
        <f t="shared" si="17"/>
        <v>5940</v>
      </c>
      <c r="E82" s="4">
        <f t="shared" si="18"/>
        <v>1296</v>
      </c>
      <c r="F82" s="4">
        <f t="shared" si="19"/>
        <v>79909</v>
      </c>
      <c r="G82" s="4">
        <f t="shared" si="26"/>
        <v>666</v>
      </c>
      <c r="H82" s="4">
        <f t="shared" si="27"/>
        <v>3745</v>
      </c>
      <c r="I82" s="4">
        <f t="shared" si="28"/>
        <v>16206</v>
      </c>
      <c r="J82" s="4">
        <f t="shared" si="29"/>
        <v>443556</v>
      </c>
      <c r="K82" s="4">
        <f t="shared" si="30"/>
        <v>2876724</v>
      </c>
      <c r="L82" s="4">
        <f t="shared" si="20"/>
        <v>2494170</v>
      </c>
      <c r="M82" s="4">
        <f t="shared" si="21"/>
        <v>382554</v>
      </c>
      <c r="N82" s="4">
        <f t="shared" si="22"/>
        <v>583416</v>
      </c>
      <c r="O82" s="4">
        <f t="shared" si="23"/>
        <v>443556</v>
      </c>
      <c r="P82" s="4">
        <f t="shared" si="24"/>
        <v>139860</v>
      </c>
      <c r="Q82">
        <f t="shared" si="25"/>
        <v>2.7352638352638352</v>
      </c>
      <c r="R82">
        <f t="shared" si="9"/>
        <v>984.6949806949807</v>
      </c>
      <c r="S82">
        <f t="shared" si="15"/>
        <v>1103</v>
      </c>
      <c r="T82">
        <f t="shared" si="16"/>
        <v>118.3050193050193</v>
      </c>
      <c r="U82">
        <f t="shared" si="31"/>
        <v>299</v>
      </c>
    </row>
    <row r="83" spans="1:21" x14ac:dyDescent="0.35">
      <c r="A83">
        <v>150</v>
      </c>
      <c r="B83">
        <v>37</v>
      </c>
      <c r="C83" s="4">
        <v>150</v>
      </c>
      <c r="D83" s="4">
        <f t="shared" si="17"/>
        <v>5550</v>
      </c>
      <c r="E83" s="4">
        <f t="shared" si="18"/>
        <v>1369</v>
      </c>
      <c r="F83" s="4">
        <f t="shared" si="19"/>
        <v>85459</v>
      </c>
      <c r="G83" s="4">
        <f t="shared" si="26"/>
        <v>703</v>
      </c>
      <c r="H83" s="4">
        <f t="shared" si="27"/>
        <v>3895</v>
      </c>
      <c r="I83" s="4">
        <f t="shared" si="28"/>
        <v>17575</v>
      </c>
      <c r="J83" s="4">
        <f t="shared" si="29"/>
        <v>494209</v>
      </c>
      <c r="K83" s="4">
        <f t="shared" si="30"/>
        <v>3161983</v>
      </c>
      <c r="L83" s="4">
        <f t="shared" si="20"/>
        <v>2738185</v>
      </c>
      <c r="M83" s="4">
        <f t="shared" si="21"/>
        <v>423798</v>
      </c>
      <c r="N83" s="4">
        <f t="shared" si="22"/>
        <v>650275</v>
      </c>
      <c r="O83" s="4">
        <f t="shared" si="23"/>
        <v>494209</v>
      </c>
      <c r="P83" s="4">
        <f t="shared" si="24"/>
        <v>156066</v>
      </c>
      <c r="Q83">
        <f t="shared" si="25"/>
        <v>2.7155049786628735</v>
      </c>
      <c r="R83">
        <f t="shared" si="9"/>
        <v>977.58179231863448</v>
      </c>
      <c r="S83">
        <f t="shared" si="15"/>
        <v>1093</v>
      </c>
      <c r="T83">
        <f t="shared" si="16"/>
        <v>115.41820768136552</v>
      </c>
      <c r="U83">
        <f t="shared" si="31"/>
        <v>272</v>
      </c>
    </row>
    <row r="84" spans="1:21" x14ac:dyDescent="0.35">
      <c r="A84">
        <v>155</v>
      </c>
      <c r="B84">
        <v>38</v>
      </c>
      <c r="C84" s="4">
        <v>155</v>
      </c>
      <c r="D84" s="4">
        <f t="shared" si="17"/>
        <v>5890</v>
      </c>
      <c r="E84" s="4">
        <f t="shared" si="18"/>
        <v>1444</v>
      </c>
      <c r="F84" s="4">
        <f t="shared" si="19"/>
        <v>91349</v>
      </c>
      <c r="G84" s="4">
        <f t="shared" si="26"/>
        <v>741</v>
      </c>
      <c r="H84" s="4">
        <f t="shared" si="27"/>
        <v>4050</v>
      </c>
      <c r="I84" s="4">
        <f t="shared" si="28"/>
        <v>19019</v>
      </c>
      <c r="J84" s="4">
        <f t="shared" si="29"/>
        <v>549081</v>
      </c>
      <c r="K84" s="4">
        <f t="shared" si="30"/>
        <v>3471262</v>
      </c>
      <c r="L84" s="4">
        <f t="shared" si="20"/>
        <v>3001050</v>
      </c>
      <c r="M84" s="4">
        <f t="shared" si="21"/>
        <v>470212</v>
      </c>
      <c r="N84" s="4">
        <f t="shared" si="22"/>
        <v>722722</v>
      </c>
      <c r="O84" s="4">
        <f t="shared" si="23"/>
        <v>549081</v>
      </c>
      <c r="P84" s="4">
        <f t="shared" si="24"/>
        <v>173641</v>
      </c>
      <c r="Q84">
        <f t="shared" si="25"/>
        <v>2.7079549184812342</v>
      </c>
      <c r="R84">
        <f t="shared" si="9"/>
        <v>974.86377065324427</v>
      </c>
      <c r="S84">
        <f t="shared" si="15"/>
        <v>1083</v>
      </c>
      <c r="T84">
        <f t="shared" si="16"/>
        <v>108.13622934675573</v>
      </c>
      <c r="U84">
        <f t="shared" si="31"/>
        <v>248</v>
      </c>
    </row>
    <row r="85" spans="1:21" x14ac:dyDescent="0.35">
      <c r="A85">
        <v>180</v>
      </c>
      <c r="B85">
        <v>39</v>
      </c>
      <c r="C85" s="4">
        <v>180</v>
      </c>
      <c r="D85" s="4">
        <f t="shared" si="17"/>
        <v>7020</v>
      </c>
      <c r="E85" s="4">
        <f t="shared" si="18"/>
        <v>1521</v>
      </c>
      <c r="F85" s="4">
        <f t="shared" si="19"/>
        <v>98369</v>
      </c>
      <c r="G85" s="4">
        <f t="shared" si="26"/>
        <v>780</v>
      </c>
      <c r="H85" s="4">
        <f t="shared" si="27"/>
        <v>4230</v>
      </c>
      <c r="I85" s="4">
        <f t="shared" si="28"/>
        <v>20540</v>
      </c>
      <c r="J85" s="4">
        <f t="shared" si="29"/>
        <v>608400</v>
      </c>
      <c r="K85" s="4">
        <f t="shared" si="30"/>
        <v>3836391</v>
      </c>
      <c r="L85" s="4">
        <f t="shared" si="20"/>
        <v>3299400</v>
      </c>
      <c r="M85" s="4">
        <f t="shared" si="21"/>
        <v>536991</v>
      </c>
      <c r="N85" s="4">
        <f t="shared" si="22"/>
        <v>801060</v>
      </c>
      <c r="O85" s="4">
        <f t="shared" si="23"/>
        <v>608400</v>
      </c>
      <c r="P85" s="4">
        <f t="shared" si="24"/>
        <v>192660</v>
      </c>
      <c r="Q85">
        <f t="shared" si="25"/>
        <v>2.7872469635627533</v>
      </c>
      <c r="R85">
        <f t="shared" si="9"/>
        <v>1003.4089068825912</v>
      </c>
      <c r="S85">
        <f t="shared" si="15"/>
        <v>1073</v>
      </c>
      <c r="T85">
        <f t="shared" si="16"/>
        <v>69.591093117408832</v>
      </c>
      <c r="U85">
        <f t="shared" si="31"/>
        <v>225</v>
      </c>
    </row>
    <row r="86" spans="1:21" x14ac:dyDescent="0.35">
      <c r="A86">
        <v>174</v>
      </c>
      <c r="B86">
        <v>40</v>
      </c>
      <c r="C86" s="4">
        <v>174</v>
      </c>
      <c r="D86" s="4">
        <f t="shared" si="17"/>
        <v>6960</v>
      </c>
      <c r="E86" s="4">
        <f t="shared" si="18"/>
        <v>1600</v>
      </c>
      <c r="F86" s="4">
        <f t="shared" si="19"/>
        <v>105329</v>
      </c>
      <c r="G86" s="4">
        <f t="shared" si="26"/>
        <v>820</v>
      </c>
      <c r="H86" s="4">
        <f t="shared" si="27"/>
        <v>4404</v>
      </c>
      <c r="I86" s="4">
        <f t="shared" si="28"/>
        <v>22140</v>
      </c>
      <c r="J86" s="4">
        <f t="shared" si="29"/>
        <v>672400</v>
      </c>
      <c r="K86" s="4">
        <f t="shared" si="30"/>
        <v>4213160</v>
      </c>
      <c r="L86" s="4">
        <f t="shared" si="20"/>
        <v>3611280</v>
      </c>
      <c r="M86" s="4">
        <f t="shared" si="21"/>
        <v>601880</v>
      </c>
      <c r="N86" s="4">
        <f t="shared" si="22"/>
        <v>885600</v>
      </c>
      <c r="O86" s="4">
        <f t="shared" si="23"/>
        <v>672400</v>
      </c>
      <c r="P86" s="4">
        <f t="shared" si="24"/>
        <v>213200</v>
      </c>
      <c r="Q86">
        <f t="shared" si="25"/>
        <v>2.8230769230769233</v>
      </c>
      <c r="R86">
        <f t="shared" si="9"/>
        <v>1016.3076923076924</v>
      </c>
      <c r="S86">
        <f t="shared" si="15"/>
        <v>1064</v>
      </c>
      <c r="T86">
        <f t="shared" si="16"/>
        <v>47.692307692307622</v>
      </c>
      <c r="U86">
        <f t="shared" si="31"/>
        <v>202</v>
      </c>
    </row>
    <row r="87" spans="1:21" x14ac:dyDescent="0.35">
      <c r="A87">
        <v>173</v>
      </c>
      <c r="B87">
        <v>41</v>
      </c>
      <c r="C87" s="4">
        <v>173</v>
      </c>
      <c r="D87" s="4">
        <f t="shared" si="17"/>
        <v>7093</v>
      </c>
      <c r="E87" s="4">
        <f t="shared" si="18"/>
        <v>1681</v>
      </c>
      <c r="F87" s="4">
        <f t="shared" si="19"/>
        <v>112422</v>
      </c>
      <c r="G87" s="4">
        <f t="shared" si="26"/>
        <v>861</v>
      </c>
      <c r="H87" s="4">
        <f t="shared" si="27"/>
        <v>4577</v>
      </c>
      <c r="I87" s="4">
        <f t="shared" si="28"/>
        <v>23821</v>
      </c>
      <c r="J87" s="4">
        <f t="shared" si="29"/>
        <v>741321</v>
      </c>
      <c r="K87" s="4">
        <f t="shared" si="30"/>
        <v>4609302</v>
      </c>
      <c r="L87" s="4">
        <f t="shared" si="20"/>
        <v>3940797</v>
      </c>
      <c r="M87" s="4">
        <f t="shared" si="21"/>
        <v>668505</v>
      </c>
      <c r="N87" s="4">
        <f t="shared" si="22"/>
        <v>976661</v>
      </c>
      <c r="O87" s="4">
        <f t="shared" si="23"/>
        <v>741321</v>
      </c>
      <c r="P87" s="4">
        <f t="shared" si="24"/>
        <v>235340</v>
      </c>
      <c r="Q87">
        <f t="shared" si="25"/>
        <v>2.8405923344947737</v>
      </c>
      <c r="R87">
        <f t="shared" si="9"/>
        <v>1022.6132404181185</v>
      </c>
      <c r="S87">
        <f t="shared" si="15"/>
        <v>1056</v>
      </c>
      <c r="T87">
        <f t="shared" si="16"/>
        <v>33.386759581881506</v>
      </c>
      <c r="U87">
        <f t="shared" si="31"/>
        <v>180</v>
      </c>
    </row>
    <row r="88" spans="1:21" x14ac:dyDescent="0.35">
      <c r="A88">
        <v>166</v>
      </c>
      <c r="B88">
        <v>42</v>
      </c>
      <c r="C88" s="4">
        <v>166</v>
      </c>
      <c r="D88" s="4">
        <f t="shared" si="17"/>
        <v>6972</v>
      </c>
      <c r="E88" s="4">
        <f t="shared" si="18"/>
        <v>1764</v>
      </c>
      <c r="F88" s="4">
        <f t="shared" si="19"/>
        <v>119394</v>
      </c>
      <c r="G88" s="4">
        <f t="shared" si="26"/>
        <v>903</v>
      </c>
      <c r="H88" s="4">
        <f t="shared" si="27"/>
        <v>4743</v>
      </c>
      <c r="I88" s="4">
        <f t="shared" si="28"/>
        <v>25585</v>
      </c>
      <c r="J88" s="4">
        <f t="shared" si="29"/>
        <v>815409</v>
      </c>
      <c r="K88" s="4">
        <f t="shared" si="30"/>
        <v>5014548</v>
      </c>
      <c r="L88" s="4">
        <f t="shared" si="20"/>
        <v>4282929</v>
      </c>
      <c r="M88" s="4">
        <f t="shared" si="21"/>
        <v>731619</v>
      </c>
      <c r="N88" s="4">
        <f t="shared" si="22"/>
        <v>1074570</v>
      </c>
      <c r="O88" s="4">
        <f t="shared" si="23"/>
        <v>815409</v>
      </c>
      <c r="P88" s="4">
        <f t="shared" si="24"/>
        <v>259161</v>
      </c>
      <c r="Q88">
        <f t="shared" si="25"/>
        <v>2.8230289279636982</v>
      </c>
      <c r="R88">
        <f t="shared" si="9"/>
        <v>1016.2904140669314</v>
      </c>
      <c r="S88">
        <f t="shared" si="15"/>
        <v>1049</v>
      </c>
      <c r="T88">
        <f t="shared" si="16"/>
        <v>32.709585933068638</v>
      </c>
      <c r="U88">
        <f t="shared" si="31"/>
        <v>160</v>
      </c>
    </row>
    <row r="89" spans="1:21" x14ac:dyDescent="0.35">
      <c r="A89">
        <v>190</v>
      </c>
      <c r="B89">
        <v>43</v>
      </c>
      <c r="C89" s="4">
        <v>190</v>
      </c>
      <c r="D89" s="4">
        <f t="shared" si="17"/>
        <v>8170</v>
      </c>
      <c r="E89" s="4">
        <f t="shared" si="18"/>
        <v>1849</v>
      </c>
      <c r="F89" s="4">
        <f t="shared" si="19"/>
        <v>127564</v>
      </c>
      <c r="G89" s="4">
        <f t="shared" si="26"/>
        <v>946</v>
      </c>
      <c r="H89" s="4">
        <f t="shared" si="27"/>
        <v>4933</v>
      </c>
      <c r="I89" s="4">
        <f t="shared" si="28"/>
        <v>27434</v>
      </c>
      <c r="J89" s="4">
        <f t="shared" si="29"/>
        <v>894916</v>
      </c>
      <c r="K89" s="4">
        <f t="shared" si="30"/>
        <v>5485252</v>
      </c>
      <c r="L89" s="4">
        <f t="shared" si="20"/>
        <v>4666618</v>
      </c>
      <c r="M89" s="4">
        <f t="shared" si="21"/>
        <v>818634</v>
      </c>
      <c r="N89" s="4">
        <f t="shared" si="22"/>
        <v>1179662</v>
      </c>
      <c r="O89" s="4">
        <f t="shared" si="23"/>
        <v>894916</v>
      </c>
      <c r="P89" s="4">
        <f t="shared" si="24"/>
        <v>284746</v>
      </c>
      <c r="Q89">
        <f t="shared" si="25"/>
        <v>2.8749622470552705</v>
      </c>
      <c r="R89">
        <f t="shared" si="9"/>
        <v>1034.9864089398973</v>
      </c>
      <c r="S89">
        <f t="shared" si="15"/>
        <v>1043</v>
      </c>
      <c r="T89">
        <f t="shared" si="16"/>
        <v>8.0135910601027263</v>
      </c>
      <c r="U89">
        <f t="shared" si="31"/>
        <v>144</v>
      </c>
    </row>
    <row r="90" spans="1:21" x14ac:dyDescent="0.35">
      <c r="A90">
        <v>194</v>
      </c>
      <c r="B90">
        <v>44</v>
      </c>
      <c r="C90" s="4">
        <v>194</v>
      </c>
      <c r="D90" s="4">
        <f t="shared" si="17"/>
        <v>8536</v>
      </c>
      <c r="E90" s="4">
        <f t="shared" si="18"/>
        <v>1936</v>
      </c>
      <c r="F90" s="4">
        <f t="shared" si="19"/>
        <v>136100</v>
      </c>
      <c r="G90" s="4">
        <f t="shared" si="26"/>
        <v>990</v>
      </c>
      <c r="H90" s="4">
        <f t="shared" si="27"/>
        <v>5127</v>
      </c>
      <c r="I90" s="4">
        <f t="shared" si="28"/>
        <v>29370</v>
      </c>
      <c r="J90" s="4">
        <f t="shared" si="29"/>
        <v>980100</v>
      </c>
      <c r="K90" s="4">
        <f t="shared" si="30"/>
        <v>5988400</v>
      </c>
      <c r="L90" s="4">
        <f t="shared" si="20"/>
        <v>5075730</v>
      </c>
      <c r="M90" s="4">
        <f t="shared" si="21"/>
        <v>912670</v>
      </c>
      <c r="N90" s="4">
        <f t="shared" si="22"/>
        <v>1292280</v>
      </c>
      <c r="O90" s="4">
        <f t="shared" si="23"/>
        <v>980100</v>
      </c>
      <c r="P90" s="4">
        <f t="shared" si="24"/>
        <v>312180</v>
      </c>
      <c r="Q90">
        <f t="shared" si="25"/>
        <v>2.92353770260747</v>
      </c>
      <c r="R90">
        <f t="shared" si="9"/>
        <v>1052.4735729386891</v>
      </c>
      <c r="S90">
        <f t="shared" si="15"/>
        <v>1038</v>
      </c>
      <c r="T90">
        <f t="shared" si="16"/>
        <v>14.473572938689131</v>
      </c>
      <c r="U90">
        <f t="shared" si="31"/>
        <v>129</v>
      </c>
    </row>
    <row r="91" spans="1:21" x14ac:dyDescent="0.35">
      <c r="A91">
        <v>184</v>
      </c>
      <c r="B91">
        <v>45</v>
      </c>
      <c r="C91" s="4">
        <v>184</v>
      </c>
      <c r="D91" s="4">
        <f t="shared" si="17"/>
        <v>8280</v>
      </c>
      <c r="E91" s="4">
        <f t="shared" si="18"/>
        <v>2025</v>
      </c>
      <c r="F91" s="4">
        <f t="shared" si="19"/>
        <v>144380</v>
      </c>
      <c r="G91" s="4">
        <f t="shared" si="26"/>
        <v>1035</v>
      </c>
      <c r="H91" s="4">
        <f t="shared" si="27"/>
        <v>5311</v>
      </c>
      <c r="I91" s="4">
        <f t="shared" si="28"/>
        <v>31395</v>
      </c>
      <c r="J91" s="4">
        <f t="shared" si="29"/>
        <v>1071225</v>
      </c>
      <c r="K91" s="4">
        <f t="shared" si="30"/>
        <v>6497100</v>
      </c>
      <c r="L91" s="4">
        <f t="shared" si="20"/>
        <v>5496885</v>
      </c>
      <c r="M91" s="4">
        <f t="shared" si="21"/>
        <v>1000215</v>
      </c>
      <c r="N91" s="4">
        <f t="shared" si="22"/>
        <v>1412775</v>
      </c>
      <c r="O91" s="4">
        <f t="shared" si="23"/>
        <v>1071225</v>
      </c>
      <c r="P91" s="4">
        <f t="shared" si="24"/>
        <v>341550</v>
      </c>
      <c r="Q91">
        <f t="shared" si="25"/>
        <v>2.9284584980237156</v>
      </c>
      <c r="R91">
        <f t="shared" si="9"/>
        <v>1054.2450592885375</v>
      </c>
      <c r="S91">
        <f t="shared" si="15"/>
        <v>1034</v>
      </c>
      <c r="T91">
        <f t="shared" si="16"/>
        <v>20.245059288537504</v>
      </c>
      <c r="U91">
        <f t="shared" si="31"/>
        <v>117</v>
      </c>
    </row>
    <row r="92" spans="1:21" x14ac:dyDescent="0.35">
      <c r="A92">
        <v>195</v>
      </c>
      <c r="B92">
        <v>46</v>
      </c>
      <c r="C92" s="4">
        <v>195</v>
      </c>
      <c r="D92" s="4">
        <f t="shared" si="17"/>
        <v>8970</v>
      </c>
      <c r="E92" s="4">
        <f t="shared" si="18"/>
        <v>2116</v>
      </c>
      <c r="F92" s="4">
        <f t="shared" si="19"/>
        <v>153350</v>
      </c>
      <c r="G92" s="4">
        <f t="shared" si="26"/>
        <v>1081</v>
      </c>
      <c r="H92" s="4">
        <f t="shared" si="27"/>
        <v>5506</v>
      </c>
      <c r="I92" s="4">
        <f t="shared" si="28"/>
        <v>33511</v>
      </c>
      <c r="J92" s="4">
        <f t="shared" si="29"/>
        <v>1168561</v>
      </c>
      <c r="K92" s="4">
        <f t="shared" si="30"/>
        <v>7054100</v>
      </c>
      <c r="L92" s="4">
        <f t="shared" si="20"/>
        <v>5951986</v>
      </c>
      <c r="M92" s="4">
        <f t="shared" si="21"/>
        <v>1102114</v>
      </c>
      <c r="N92" s="4">
        <f t="shared" si="22"/>
        <v>1541506</v>
      </c>
      <c r="O92" s="4">
        <f t="shared" si="23"/>
        <v>1168561</v>
      </c>
      <c r="P92" s="4">
        <f t="shared" si="24"/>
        <v>372945</v>
      </c>
      <c r="Q92">
        <f t="shared" si="25"/>
        <v>2.9551649707061363</v>
      </c>
      <c r="R92">
        <f t="shared" si="9"/>
        <v>1063.8593894542091</v>
      </c>
      <c r="S92">
        <f t="shared" si="15"/>
        <v>1030</v>
      </c>
      <c r="T92">
        <f t="shared" si="16"/>
        <v>33.859389454209122</v>
      </c>
      <c r="U92">
        <f>INT(AVERAGE(T67:T91))</f>
        <v>106</v>
      </c>
    </row>
    <row r="93" spans="1:21" x14ac:dyDescent="0.35">
      <c r="A93">
        <v>187</v>
      </c>
      <c r="B93">
        <v>47</v>
      </c>
      <c r="C93" s="4">
        <v>187</v>
      </c>
      <c r="D93" s="4">
        <f t="shared" si="17"/>
        <v>8789</v>
      </c>
      <c r="E93" s="4">
        <f t="shared" si="18"/>
        <v>2209</v>
      </c>
      <c r="F93" s="4">
        <f t="shared" si="19"/>
        <v>162139</v>
      </c>
      <c r="G93" s="4">
        <f t="shared" si="26"/>
        <v>1128</v>
      </c>
      <c r="H93" s="4">
        <f t="shared" si="27"/>
        <v>5693</v>
      </c>
      <c r="I93" s="4">
        <f t="shared" si="28"/>
        <v>35720</v>
      </c>
      <c r="J93" s="4">
        <f t="shared" si="29"/>
        <v>1272384</v>
      </c>
      <c r="K93" s="4">
        <f t="shared" si="30"/>
        <v>7620533</v>
      </c>
      <c r="L93" s="4">
        <f t="shared" si="20"/>
        <v>6421704</v>
      </c>
      <c r="M93" s="4">
        <f t="shared" si="21"/>
        <v>1198829</v>
      </c>
      <c r="N93" s="4">
        <f t="shared" si="22"/>
        <v>1678840</v>
      </c>
      <c r="O93" s="4">
        <f t="shared" si="23"/>
        <v>1272384</v>
      </c>
      <c r="P93" s="4">
        <f t="shared" si="24"/>
        <v>406456</v>
      </c>
      <c r="Q93">
        <f t="shared" si="25"/>
        <v>2.9494680851063828</v>
      </c>
      <c r="R93">
        <f t="shared" si="9"/>
        <v>1061.8085106382978</v>
      </c>
      <c r="S93">
        <f t="shared" si="15"/>
        <v>1026</v>
      </c>
      <c r="T93">
        <f t="shared" si="16"/>
        <v>35.808510638297776</v>
      </c>
      <c r="U93">
        <f t="shared" ref="U93:U156" si="32">INT(AVERAGE(T68:T92))</f>
        <v>99</v>
      </c>
    </row>
    <row r="94" spans="1:21" x14ac:dyDescent="0.35">
      <c r="A94">
        <v>191</v>
      </c>
      <c r="B94">
        <v>48</v>
      </c>
      <c r="C94" s="4">
        <v>191</v>
      </c>
      <c r="D94" s="4">
        <f t="shared" si="17"/>
        <v>9168</v>
      </c>
      <c r="E94" s="4">
        <f t="shared" si="18"/>
        <v>2304</v>
      </c>
      <c r="F94" s="4">
        <f t="shared" si="19"/>
        <v>171307</v>
      </c>
      <c r="G94" s="4">
        <f t="shared" si="26"/>
        <v>1176</v>
      </c>
      <c r="H94" s="4">
        <f t="shared" si="27"/>
        <v>5884</v>
      </c>
      <c r="I94" s="4">
        <f t="shared" si="28"/>
        <v>38024</v>
      </c>
      <c r="J94" s="4">
        <f t="shared" si="29"/>
        <v>1382976</v>
      </c>
      <c r="K94" s="4">
        <f t="shared" si="30"/>
        <v>8222736</v>
      </c>
      <c r="L94" s="4">
        <f t="shared" si="20"/>
        <v>6919584</v>
      </c>
      <c r="M94" s="4">
        <f t="shared" si="21"/>
        <v>1303152</v>
      </c>
      <c r="N94" s="4">
        <f t="shared" si="22"/>
        <v>1825152</v>
      </c>
      <c r="O94" s="4">
        <f t="shared" si="23"/>
        <v>1382976</v>
      </c>
      <c r="P94" s="4">
        <f t="shared" si="24"/>
        <v>442176</v>
      </c>
      <c r="Q94">
        <f t="shared" si="25"/>
        <v>2.9471341728180636</v>
      </c>
      <c r="R94">
        <f t="shared" si="9"/>
        <v>1060.968302214503</v>
      </c>
      <c r="S94">
        <f t="shared" si="15"/>
        <v>1022</v>
      </c>
      <c r="T94">
        <f t="shared" si="16"/>
        <v>38.968302214502955</v>
      </c>
      <c r="U94">
        <f t="shared" si="32"/>
        <v>93</v>
      </c>
    </row>
    <row r="95" spans="1:21" x14ac:dyDescent="0.35">
      <c r="A95">
        <v>213</v>
      </c>
      <c r="B95">
        <v>49</v>
      </c>
      <c r="C95" s="4">
        <v>213</v>
      </c>
      <c r="D95" s="4">
        <f t="shared" si="17"/>
        <v>10437</v>
      </c>
      <c r="E95" s="4">
        <f t="shared" si="18"/>
        <v>2401</v>
      </c>
      <c r="F95" s="4">
        <f t="shared" si="19"/>
        <v>181744</v>
      </c>
      <c r="G95" s="4">
        <f t="shared" si="26"/>
        <v>1225</v>
      </c>
      <c r="H95" s="4">
        <f t="shared" si="27"/>
        <v>6097</v>
      </c>
      <c r="I95" s="4">
        <f t="shared" si="28"/>
        <v>40425</v>
      </c>
      <c r="J95" s="4">
        <f t="shared" si="29"/>
        <v>1500625</v>
      </c>
      <c r="K95" s="4">
        <f t="shared" si="30"/>
        <v>8905456</v>
      </c>
      <c r="L95" s="4">
        <f t="shared" si="20"/>
        <v>7468825</v>
      </c>
      <c r="M95" s="4">
        <f t="shared" si="21"/>
        <v>1436631</v>
      </c>
      <c r="N95" s="4">
        <f t="shared" si="22"/>
        <v>1980825</v>
      </c>
      <c r="O95" s="4">
        <f t="shared" si="23"/>
        <v>1500625</v>
      </c>
      <c r="P95" s="4">
        <f t="shared" si="24"/>
        <v>480200</v>
      </c>
      <c r="Q95">
        <f t="shared" si="25"/>
        <v>2.9917346938775511</v>
      </c>
      <c r="R95">
        <f t="shared" si="9"/>
        <v>1077.0244897959185</v>
      </c>
      <c r="S95">
        <f t="shared" si="15"/>
        <v>1019</v>
      </c>
      <c r="T95">
        <f t="shared" si="16"/>
        <v>58.024489795918498</v>
      </c>
      <c r="U95">
        <f t="shared" si="32"/>
        <v>89</v>
      </c>
    </row>
    <row r="96" spans="1:21" x14ac:dyDescent="0.35">
      <c r="A96">
        <v>218</v>
      </c>
      <c r="B96">
        <v>50</v>
      </c>
      <c r="C96" s="4">
        <v>218</v>
      </c>
      <c r="D96" s="4">
        <f t="shared" si="17"/>
        <v>10900</v>
      </c>
      <c r="E96" s="4">
        <f t="shared" si="18"/>
        <v>2500</v>
      </c>
      <c r="F96" s="4">
        <f t="shared" si="19"/>
        <v>192644</v>
      </c>
      <c r="G96" s="4">
        <f t="shared" si="26"/>
        <v>1275</v>
      </c>
      <c r="H96" s="4">
        <f t="shared" si="27"/>
        <v>6315</v>
      </c>
      <c r="I96" s="4">
        <f t="shared" si="28"/>
        <v>42925</v>
      </c>
      <c r="J96" s="4">
        <f t="shared" si="29"/>
        <v>1625625</v>
      </c>
      <c r="K96" s="4">
        <f t="shared" si="30"/>
        <v>9632200</v>
      </c>
      <c r="L96" s="4">
        <f t="shared" si="20"/>
        <v>8051625</v>
      </c>
      <c r="M96" s="4">
        <f t="shared" si="21"/>
        <v>1580575</v>
      </c>
      <c r="N96" s="4">
        <f t="shared" si="22"/>
        <v>2146250</v>
      </c>
      <c r="O96" s="4">
        <f t="shared" si="23"/>
        <v>1625625</v>
      </c>
      <c r="P96" s="4">
        <f t="shared" si="24"/>
        <v>520625</v>
      </c>
      <c r="Q96">
        <f t="shared" si="25"/>
        <v>3.0359183673469388</v>
      </c>
      <c r="R96">
        <f t="shared" si="9"/>
        <v>1092.9306122448979</v>
      </c>
      <c r="S96">
        <f t="shared" si="15"/>
        <v>1020</v>
      </c>
      <c r="T96">
        <f t="shared" si="16"/>
        <v>72.930612244897929</v>
      </c>
      <c r="U96">
        <f t="shared" si="32"/>
        <v>88</v>
      </c>
    </row>
    <row r="97" spans="1:21" x14ac:dyDescent="0.35">
      <c r="A97">
        <v>213</v>
      </c>
      <c r="B97">
        <v>51</v>
      </c>
      <c r="C97" s="4">
        <v>213</v>
      </c>
      <c r="D97" s="4">
        <f t="shared" si="17"/>
        <v>10863</v>
      </c>
      <c r="E97" s="4">
        <f t="shared" si="18"/>
        <v>2601</v>
      </c>
      <c r="F97" s="4">
        <f t="shared" si="19"/>
        <v>203507</v>
      </c>
      <c r="G97" s="4">
        <f t="shared" si="26"/>
        <v>1326</v>
      </c>
      <c r="H97" s="4">
        <f t="shared" si="27"/>
        <v>6528</v>
      </c>
      <c r="I97" s="4">
        <f t="shared" si="28"/>
        <v>45526</v>
      </c>
      <c r="J97" s="4">
        <f t="shared" si="29"/>
        <v>1758276</v>
      </c>
      <c r="K97" s="4">
        <f t="shared" si="30"/>
        <v>10378857</v>
      </c>
      <c r="L97" s="4">
        <f t="shared" si="20"/>
        <v>8656128</v>
      </c>
      <c r="M97" s="4">
        <f t="shared" si="21"/>
        <v>1722729</v>
      </c>
      <c r="N97" s="4">
        <f t="shared" si="22"/>
        <v>2321826</v>
      </c>
      <c r="O97" s="4">
        <f t="shared" si="23"/>
        <v>1758276</v>
      </c>
      <c r="P97" s="4">
        <f t="shared" si="24"/>
        <v>563550</v>
      </c>
      <c r="Q97">
        <f t="shared" si="25"/>
        <v>3.0569230769230771</v>
      </c>
      <c r="R97">
        <f t="shared" si="9"/>
        <v>1100.4923076923078</v>
      </c>
      <c r="S97">
        <f t="shared" si="15"/>
        <v>1023</v>
      </c>
      <c r="T97">
        <f t="shared" si="16"/>
        <v>77.492307692307804</v>
      </c>
      <c r="U97">
        <f t="shared" si="32"/>
        <v>90</v>
      </c>
    </row>
    <row r="98" spans="1:21" x14ac:dyDescent="0.35">
      <c r="A98">
        <v>199</v>
      </c>
      <c r="B98">
        <v>52</v>
      </c>
      <c r="C98" s="4">
        <v>199</v>
      </c>
      <c r="D98" s="4">
        <f t="shared" si="17"/>
        <v>10348</v>
      </c>
      <c r="E98" s="4">
        <f t="shared" si="18"/>
        <v>2704</v>
      </c>
      <c r="F98" s="4">
        <f t="shared" si="19"/>
        <v>213855</v>
      </c>
      <c r="G98" s="4">
        <f t="shared" si="26"/>
        <v>1378</v>
      </c>
      <c r="H98" s="4">
        <f t="shared" si="27"/>
        <v>6727</v>
      </c>
      <c r="I98" s="4">
        <f t="shared" si="28"/>
        <v>48230</v>
      </c>
      <c r="J98" s="4">
        <f t="shared" si="29"/>
        <v>1898884</v>
      </c>
      <c r="K98" s="4">
        <f t="shared" si="30"/>
        <v>11120460</v>
      </c>
      <c r="L98" s="4">
        <f t="shared" si="20"/>
        <v>9269806</v>
      </c>
      <c r="M98" s="4">
        <f t="shared" si="21"/>
        <v>1850654</v>
      </c>
      <c r="N98" s="4">
        <f t="shared" si="22"/>
        <v>2507960</v>
      </c>
      <c r="O98" s="4">
        <f t="shared" si="23"/>
        <v>1898884</v>
      </c>
      <c r="P98" s="4">
        <f t="shared" si="24"/>
        <v>609076</v>
      </c>
      <c r="Q98">
        <f t="shared" si="25"/>
        <v>3.0384615384615383</v>
      </c>
      <c r="R98">
        <f t="shared" si="9"/>
        <v>1093.8461538461538</v>
      </c>
      <c r="S98">
        <f t="shared" si="15"/>
        <v>1025</v>
      </c>
      <c r="T98">
        <f t="shared" si="16"/>
        <v>68.846153846153811</v>
      </c>
      <c r="U98">
        <f t="shared" si="32"/>
        <v>87</v>
      </c>
    </row>
    <row r="99" spans="1:21" x14ac:dyDescent="0.35">
      <c r="A99">
        <v>223</v>
      </c>
      <c r="B99">
        <v>53</v>
      </c>
      <c r="C99" s="4">
        <v>223</v>
      </c>
      <c r="D99" s="4">
        <f t="shared" si="17"/>
        <v>11819</v>
      </c>
      <c r="E99" s="4">
        <f t="shared" si="18"/>
        <v>2809</v>
      </c>
      <c r="F99" s="4">
        <f t="shared" si="19"/>
        <v>225674</v>
      </c>
      <c r="G99" s="4">
        <f t="shared" si="26"/>
        <v>1431</v>
      </c>
      <c r="H99" s="4">
        <f t="shared" si="27"/>
        <v>6950</v>
      </c>
      <c r="I99" s="4">
        <f t="shared" si="28"/>
        <v>51039</v>
      </c>
      <c r="J99" s="4">
        <f t="shared" si="29"/>
        <v>2047761</v>
      </c>
      <c r="K99" s="4">
        <f t="shared" si="30"/>
        <v>11960722</v>
      </c>
      <c r="L99" s="4">
        <f t="shared" si="20"/>
        <v>9945450</v>
      </c>
      <c r="M99" s="4">
        <f t="shared" si="21"/>
        <v>2015272</v>
      </c>
      <c r="N99" s="4">
        <f t="shared" si="22"/>
        <v>2705067</v>
      </c>
      <c r="O99" s="4">
        <f t="shared" si="23"/>
        <v>2047761</v>
      </c>
      <c r="P99" s="4">
        <f t="shared" si="24"/>
        <v>657306</v>
      </c>
      <c r="Q99">
        <f t="shared" si="25"/>
        <v>3.0659571036929529</v>
      </c>
      <c r="R99">
        <f t="shared" si="9"/>
        <v>1103.7445573294631</v>
      </c>
      <c r="S99">
        <f t="shared" si="15"/>
        <v>1026</v>
      </c>
      <c r="T99">
        <f t="shared" si="16"/>
        <v>77.744557329463078</v>
      </c>
      <c r="U99">
        <f t="shared" si="32"/>
        <v>85</v>
      </c>
    </row>
    <row r="100" spans="1:21" x14ac:dyDescent="0.35">
      <c r="A100">
        <v>229</v>
      </c>
      <c r="B100">
        <v>54</v>
      </c>
      <c r="C100" s="4">
        <v>229</v>
      </c>
      <c r="D100" s="4">
        <f t="shared" si="17"/>
        <v>12366</v>
      </c>
      <c r="E100" s="4">
        <f t="shared" si="18"/>
        <v>2916</v>
      </c>
      <c r="F100" s="4">
        <f t="shared" si="19"/>
        <v>238040</v>
      </c>
      <c r="G100" s="4">
        <f t="shared" si="26"/>
        <v>1485</v>
      </c>
      <c r="H100" s="4">
        <f t="shared" si="27"/>
        <v>7179</v>
      </c>
      <c r="I100" s="4">
        <f t="shared" si="28"/>
        <v>53955</v>
      </c>
      <c r="J100" s="4">
        <f t="shared" si="29"/>
        <v>2205225</v>
      </c>
      <c r="K100" s="4">
        <f t="shared" si="30"/>
        <v>12854160</v>
      </c>
      <c r="L100" s="4">
        <f t="shared" si="20"/>
        <v>10660815</v>
      </c>
      <c r="M100" s="4">
        <f t="shared" si="21"/>
        <v>2193345</v>
      </c>
      <c r="N100" s="4">
        <f t="shared" si="22"/>
        <v>2913570</v>
      </c>
      <c r="O100" s="4">
        <f t="shared" si="23"/>
        <v>2205225</v>
      </c>
      <c r="P100" s="4">
        <f t="shared" si="24"/>
        <v>708345</v>
      </c>
      <c r="Q100">
        <f t="shared" si="25"/>
        <v>3.0964360587002098</v>
      </c>
      <c r="R100">
        <f t="shared" si="9"/>
        <v>1114.7169811320755</v>
      </c>
      <c r="S100">
        <f t="shared" si="15"/>
        <v>1030</v>
      </c>
      <c r="T100">
        <f t="shared" si="16"/>
        <v>84.716981132075489</v>
      </c>
      <c r="U100">
        <f t="shared" si="32"/>
        <v>85</v>
      </c>
    </row>
    <row r="101" spans="1:21" x14ac:dyDescent="0.35">
      <c r="A101">
        <v>234</v>
      </c>
      <c r="B101">
        <v>55</v>
      </c>
      <c r="C101" s="4">
        <v>234</v>
      </c>
      <c r="D101" s="4">
        <f t="shared" si="17"/>
        <v>12870</v>
      </c>
      <c r="E101" s="4">
        <f t="shared" si="18"/>
        <v>3025</v>
      </c>
      <c r="F101" s="4">
        <f t="shared" si="19"/>
        <v>250910</v>
      </c>
      <c r="G101" s="4">
        <f t="shared" si="26"/>
        <v>1540</v>
      </c>
      <c r="H101" s="4">
        <f t="shared" si="27"/>
        <v>7413</v>
      </c>
      <c r="I101" s="4">
        <f t="shared" si="28"/>
        <v>56980</v>
      </c>
      <c r="J101" s="4">
        <f t="shared" si="29"/>
        <v>2371600</v>
      </c>
      <c r="K101" s="4">
        <f t="shared" si="30"/>
        <v>13800050</v>
      </c>
      <c r="L101" s="4">
        <f t="shared" si="20"/>
        <v>11416020</v>
      </c>
      <c r="M101" s="4">
        <f t="shared" si="21"/>
        <v>2384030</v>
      </c>
      <c r="N101" s="4">
        <f t="shared" si="22"/>
        <v>3133900</v>
      </c>
      <c r="O101" s="4">
        <f t="shared" si="23"/>
        <v>2371600</v>
      </c>
      <c r="P101" s="4">
        <f t="shared" si="24"/>
        <v>762300</v>
      </c>
      <c r="Q101">
        <f t="shared" si="25"/>
        <v>3.1274170274170272</v>
      </c>
      <c r="R101">
        <f t="shared" si="9"/>
        <v>1125.8701298701299</v>
      </c>
      <c r="S101">
        <f t="shared" si="15"/>
        <v>1037</v>
      </c>
      <c r="T101">
        <f t="shared" si="16"/>
        <v>88.870129870129858</v>
      </c>
      <c r="U101">
        <f t="shared" si="32"/>
        <v>83</v>
      </c>
    </row>
    <row r="102" spans="1:21" x14ac:dyDescent="0.35">
      <c r="A102">
        <v>241</v>
      </c>
      <c r="B102">
        <v>56</v>
      </c>
      <c r="C102" s="4">
        <v>241</v>
      </c>
      <c r="D102" s="4">
        <f t="shared" si="17"/>
        <v>13496</v>
      </c>
      <c r="E102" s="4">
        <f t="shared" si="18"/>
        <v>3136</v>
      </c>
      <c r="F102" s="4">
        <f t="shared" si="19"/>
        <v>264406</v>
      </c>
      <c r="G102" s="4">
        <f t="shared" si="26"/>
        <v>1596</v>
      </c>
      <c r="H102" s="4">
        <f t="shared" si="27"/>
        <v>7654</v>
      </c>
      <c r="I102" s="4">
        <f t="shared" si="28"/>
        <v>60116</v>
      </c>
      <c r="J102" s="4">
        <f t="shared" si="29"/>
        <v>2547216</v>
      </c>
      <c r="K102" s="4">
        <f t="shared" si="30"/>
        <v>14806736</v>
      </c>
      <c r="L102" s="4">
        <f t="shared" si="20"/>
        <v>12215784</v>
      </c>
      <c r="M102" s="4">
        <f t="shared" si="21"/>
        <v>2590952</v>
      </c>
      <c r="N102" s="4">
        <f t="shared" si="22"/>
        <v>3366496</v>
      </c>
      <c r="O102" s="4">
        <f t="shared" si="23"/>
        <v>2547216</v>
      </c>
      <c r="P102" s="4">
        <f t="shared" si="24"/>
        <v>819280</v>
      </c>
      <c r="Q102">
        <f t="shared" si="25"/>
        <v>3.1624743677375258</v>
      </c>
      <c r="R102">
        <f t="shared" si="9"/>
        <v>1138.4907723855092</v>
      </c>
      <c r="S102">
        <f t="shared" si="15"/>
        <v>1044</v>
      </c>
      <c r="T102">
        <f t="shared" si="16"/>
        <v>94.490772385509217</v>
      </c>
      <c r="U102">
        <f t="shared" si="32"/>
        <v>78</v>
      </c>
    </row>
    <row r="103" spans="1:21" x14ac:dyDescent="0.35">
      <c r="A103">
        <v>239</v>
      </c>
      <c r="B103">
        <v>57</v>
      </c>
      <c r="C103" s="4">
        <v>239</v>
      </c>
      <c r="D103" s="4">
        <f t="shared" si="17"/>
        <v>13623</v>
      </c>
      <c r="E103" s="4">
        <f t="shared" si="18"/>
        <v>3249</v>
      </c>
      <c r="F103" s="4">
        <f t="shared" si="19"/>
        <v>278029</v>
      </c>
      <c r="G103" s="4">
        <f t="shared" si="26"/>
        <v>1653</v>
      </c>
      <c r="H103" s="4">
        <f t="shared" si="27"/>
        <v>7893</v>
      </c>
      <c r="I103" s="4">
        <f t="shared" si="28"/>
        <v>63365</v>
      </c>
      <c r="J103" s="4">
        <f t="shared" si="29"/>
        <v>2732409</v>
      </c>
      <c r="K103" s="4">
        <f t="shared" si="30"/>
        <v>15847653</v>
      </c>
      <c r="L103" s="4">
        <f t="shared" si="20"/>
        <v>13047129</v>
      </c>
      <c r="M103" s="4">
        <f t="shared" si="21"/>
        <v>2800524</v>
      </c>
      <c r="N103" s="4">
        <f t="shared" si="22"/>
        <v>3611805</v>
      </c>
      <c r="O103" s="4">
        <f t="shared" si="23"/>
        <v>2732409</v>
      </c>
      <c r="P103" s="4">
        <f t="shared" si="24"/>
        <v>879396</v>
      </c>
      <c r="Q103">
        <f t="shared" si="25"/>
        <v>3.1845994296085038</v>
      </c>
      <c r="R103">
        <f t="shared" si="9"/>
        <v>1146.4557946590614</v>
      </c>
      <c r="S103">
        <f t="shared" si="15"/>
        <v>1049</v>
      </c>
      <c r="T103">
        <f t="shared" si="16"/>
        <v>97.455794659061439</v>
      </c>
      <c r="U103">
        <f t="shared" si="32"/>
        <v>75</v>
      </c>
    </row>
    <row r="104" spans="1:21" x14ac:dyDescent="0.35">
      <c r="A104">
        <v>217</v>
      </c>
      <c r="B104">
        <v>58</v>
      </c>
      <c r="C104" s="4">
        <v>217</v>
      </c>
      <c r="D104" s="4">
        <f t="shared" si="17"/>
        <v>12586</v>
      </c>
      <c r="E104" s="4">
        <f t="shared" si="18"/>
        <v>3364</v>
      </c>
      <c r="F104" s="4">
        <f t="shared" si="19"/>
        <v>290615</v>
      </c>
      <c r="G104" s="4">
        <f t="shared" si="26"/>
        <v>1711</v>
      </c>
      <c r="H104" s="4">
        <f t="shared" si="27"/>
        <v>8110</v>
      </c>
      <c r="I104" s="4">
        <f t="shared" si="28"/>
        <v>66729</v>
      </c>
      <c r="J104" s="4">
        <f t="shared" si="29"/>
        <v>2927521</v>
      </c>
      <c r="K104" s="4">
        <f t="shared" si="30"/>
        <v>16855670</v>
      </c>
      <c r="L104" s="4">
        <f t="shared" si="20"/>
        <v>13876210</v>
      </c>
      <c r="M104" s="4">
        <f t="shared" si="21"/>
        <v>2979460</v>
      </c>
      <c r="N104" s="4">
        <f t="shared" si="22"/>
        <v>3870282</v>
      </c>
      <c r="O104" s="4">
        <f t="shared" si="23"/>
        <v>2927521</v>
      </c>
      <c r="P104" s="4">
        <f t="shared" si="24"/>
        <v>942761</v>
      </c>
      <c r="Q104">
        <f t="shared" si="25"/>
        <v>3.1603555938355532</v>
      </c>
      <c r="R104">
        <f t="shared" si="9"/>
        <v>1137.7280137807991</v>
      </c>
      <c r="S104">
        <f t="shared" si="15"/>
        <v>1054</v>
      </c>
      <c r="T104">
        <f t="shared" si="16"/>
        <v>83.728013780799074</v>
      </c>
      <c r="U104">
        <f t="shared" si="32"/>
        <v>73</v>
      </c>
    </row>
    <row r="105" spans="1:21" x14ac:dyDescent="0.35">
      <c r="A105">
        <v>232</v>
      </c>
      <c r="B105">
        <v>59</v>
      </c>
      <c r="C105" s="4">
        <v>232</v>
      </c>
      <c r="D105" s="4">
        <f t="shared" si="17"/>
        <v>13688</v>
      </c>
      <c r="E105" s="4">
        <f t="shared" si="18"/>
        <v>3481</v>
      </c>
      <c r="F105" s="4">
        <f t="shared" si="19"/>
        <v>304303</v>
      </c>
      <c r="G105" s="4">
        <f t="shared" si="26"/>
        <v>1770</v>
      </c>
      <c r="H105" s="4">
        <f t="shared" si="27"/>
        <v>8342</v>
      </c>
      <c r="I105" s="4">
        <f t="shared" si="28"/>
        <v>70210</v>
      </c>
      <c r="J105" s="4">
        <f t="shared" si="29"/>
        <v>3132900</v>
      </c>
      <c r="K105" s="4">
        <f t="shared" si="30"/>
        <v>17953877</v>
      </c>
      <c r="L105" s="4">
        <f t="shared" si="20"/>
        <v>14765340</v>
      </c>
      <c r="M105" s="4">
        <f t="shared" si="21"/>
        <v>3188537</v>
      </c>
      <c r="N105" s="4">
        <f t="shared" si="22"/>
        <v>4142390</v>
      </c>
      <c r="O105" s="4">
        <f t="shared" si="23"/>
        <v>3132900</v>
      </c>
      <c r="P105" s="4">
        <f t="shared" si="24"/>
        <v>1009490</v>
      </c>
      <c r="Q105">
        <f t="shared" si="25"/>
        <v>3.1585622443015779</v>
      </c>
      <c r="R105">
        <f t="shared" si="9"/>
        <v>1137.0824079485681</v>
      </c>
      <c r="S105">
        <f t="shared" si="15"/>
        <v>1062</v>
      </c>
      <c r="T105">
        <f t="shared" si="16"/>
        <v>75.082407948568061</v>
      </c>
      <c r="U105">
        <f t="shared" si="32"/>
        <v>72</v>
      </c>
    </row>
    <row r="106" spans="1:21" x14ac:dyDescent="0.35">
      <c r="A106">
        <v>250</v>
      </c>
      <c r="B106">
        <v>60</v>
      </c>
      <c r="C106" s="4">
        <v>250</v>
      </c>
      <c r="D106" s="4">
        <f t="shared" si="17"/>
        <v>15000</v>
      </c>
      <c r="E106" s="4">
        <f t="shared" si="18"/>
        <v>3600</v>
      </c>
      <c r="F106" s="4">
        <f t="shared" si="19"/>
        <v>319303</v>
      </c>
      <c r="G106" s="4">
        <f t="shared" si="26"/>
        <v>1830</v>
      </c>
      <c r="H106" s="4">
        <f t="shared" si="27"/>
        <v>8592</v>
      </c>
      <c r="I106" s="4">
        <f t="shared" si="28"/>
        <v>73810</v>
      </c>
      <c r="J106" s="4">
        <f t="shared" si="29"/>
        <v>3348900</v>
      </c>
      <c r="K106" s="4">
        <f t="shared" si="30"/>
        <v>19158180</v>
      </c>
      <c r="L106" s="4">
        <f t="shared" si="20"/>
        <v>15723360</v>
      </c>
      <c r="M106" s="4">
        <f t="shared" si="21"/>
        <v>3434820</v>
      </c>
      <c r="N106" s="4">
        <f t="shared" si="22"/>
        <v>4428600</v>
      </c>
      <c r="O106" s="4">
        <f t="shared" si="23"/>
        <v>3348900</v>
      </c>
      <c r="P106" s="4">
        <f t="shared" si="24"/>
        <v>1079700</v>
      </c>
      <c r="Q106">
        <f t="shared" si="25"/>
        <v>3.1812725757154765</v>
      </c>
      <c r="R106">
        <f t="shared" si="9"/>
        <v>1145.2581272575715</v>
      </c>
      <c r="S106">
        <f t="shared" si="15"/>
        <v>1069</v>
      </c>
      <c r="T106">
        <f t="shared" si="16"/>
        <v>76.258127257571459</v>
      </c>
      <c r="U106">
        <f t="shared" si="32"/>
        <v>68</v>
      </c>
    </row>
    <row r="107" spans="1:21" x14ac:dyDescent="0.35">
      <c r="A107">
        <v>253</v>
      </c>
      <c r="B107">
        <v>61</v>
      </c>
      <c r="C107" s="4">
        <v>253</v>
      </c>
      <c r="D107" s="4">
        <f t="shared" si="17"/>
        <v>15433</v>
      </c>
      <c r="E107" s="4">
        <f t="shared" si="18"/>
        <v>3721</v>
      </c>
      <c r="F107" s="4">
        <f t="shared" si="19"/>
        <v>334736</v>
      </c>
      <c r="G107" s="4">
        <f t="shared" si="26"/>
        <v>1891</v>
      </c>
      <c r="H107" s="4">
        <f t="shared" si="27"/>
        <v>8845</v>
      </c>
      <c r="I107" s="4">
        <f t="shared" si="28"/>
        <v>77531</v>
      </c>
      <c r="J107" s="4">
        <f t="shared" si="29"/>
        <v>3575881</v>
      </c>
      <c r="K107" s="4">
        <f t="shared" si="30"/>
        <v>20418896</v>
      </c>
      <c r="L107" s="4">
        <f t="shared" si="20"/>
        <v>16725895</v>
      </c>
      <c r="M107" s="4">
        <f t="shared" si="21"/>
        <v>3693001</v>
      </c>
      <c r="N107" s="4">
        <f t="shared" si="22"/>
        <v>4729391</v>
      </c>
      <c r="O107" s="4">
        <f t="shared" si="23"/>
        <v>3575881</v>
      </c>
      <c r="P107" s="4">
        <f t="shared" si="24"/>
        <v>1153510</v>
      </c>
      <c r="Q107">
        <f t="shared" si="25"/>
        <v>3.2015335801163407</v>
      </c>
      <c r="R107">
        <f t="shared" si="9"/>
        <v>1152.5520888418826</v>
      </c>
      <c r="S107">
        <f t="shared" si="15"/>
        <v>1076</v>
      </c>
      <c r="T107">
        <f t="shared" si="16"/>
        <v>76.552088841882551</v>
      </c>
      <c r="U107">
        <f t="shared" si="32"/>
        <v>65</v>
      </c>
    </row>
    <row r="108" spans="1:21" x14ac:dyDescent="0.35">
      <c r="A108">
        <v>237</v>
      </c>
      <c r="B108">
        <v>62</v>
      </c>
      <c r="C108" s="4">
        <v>237</v>
      </c>
      <c r="D108" s="4">
        <f t="shared" si="17"/>
        <v>14694</v>
      </c>
      <c r="E108" s="4">
        <f t="shared" si="18"/>
        <v>3844</v>
      </c>
      <c r="F108" s="4">
        <f t="shared" si="19"/>
        <v>349430</v>
      </c>
      <c r="G108" s="4">
        <f t="shared" si="26"/>
        <v>1953</v>
      </c>
      <c r="H108" s="4">
        <f t="shared" si="27"/>
        <v>9082</v>
      </c>
      <c r="I108" s="4">
        <f t="shared" si="28"/>
        <v>81375</v>
      </c>
      <c r="J108" s="4">
        <f t="shared" si="29"/>
        <v>3814209</v>
      </c>
      <c r="K108" s="4">
        <f t="shared" si="30"/>
        <v>21664660</v>
      </c>
      <c r="L108" s="4">
        <f t="shared" si="20"/>
        <v>17737146</v>
      </c>
      <c r="M108" s="4">
        <f t="shared" si="21"/>
        <v>3927514</v>
      </c>
      <c r="N108" s="4">
        <f t="shared" si="22"/>
        <v>5045250</v>
      </c>
      <c r="O108" s="4">
        <f t="shared" si="23"/>
        <v>3814209</v>
      </c>
      <c r="P108" s="4">
        <f t="shared" si="24"/>
        <v>1231041</v>
      </c>
      <c r="Q108">
        <f t="shared" si="25"/>
        <v>3.1904006446576516</v>
      </c>
      <c r="R108">
        <f t="shared" si="9"/>
        <v>1148.5442320767545</v>
      </c>
      <c r="S108">
        <f t="shared" si="15"/>
        <v>1083</v>
      </c>
      <c r="T108">
        <f t="shared" si="16"/>
        <v>65.544232076754497</v>
      </c>
      <c r="U108">
        <f t="shared" si="32"/>
        <v>63</v>
      </c>
    </row>
    <row r="109" spans="1:21" x14ac:dyDescent="0.35">
      <c r="A109">
        <v>231</v>
      </c>
      <c r="B109">
        <v>63</v>
      </c>
      <c r="C109" s="4">
        <v>231</v>
      </c>
      <c r="D109" s="4">
        <f t="shared" si="17"/>
        <v>14553</v>
      </c>
      <c r="E109" s="4">
        <f t="shared" si="18"/>
        <v>3969</v>
      </c>
      <c r="F109" s="4">
        <f t="shared" si="19"/>
        <v>363983</v>
      </c>
      <c r="G109" s="4">
        <f t="shared" si="26"/>
        <v>2016</v>
      </c>
      <c r="H109" s="4">
        <f t="shared" si="27"/>
        <v>9313</v>
      </c>
      <c r="I109" s="4">
        <f t="shared" si="28"/>
        <v>85344</v>
      </c>
      <c r="J109" s="4">
        <f t="shared" si="29"/>
        <v>4064256</v>
      </c>
      <c r="K109" s="4">
        <f t="shared" si="30"/>
        <v>22930929</v>
      </c>
      <c r="L109" s="4">
        <f t="shared" si="20"/>
        <v>18775008</v>
      </c>
      <c r="M109" s="4">
        <f t="shared" si="21"/>
        <v>4155921</v>
      </c>
      <c r="N109" s="4">
        <f t="shared" si="22"/>
        <v>5376672</v>
      </c>
      <c r="O109" s="4">
        <f t="shared" si="23"/>
        <v>4064256</v>
      </c>
      <c r="P109" s="4">
        <f t="shared" si="24"/>
        <v>1312416</v>
      </c>
      <c r="Q109">
        <f t="shared" si="25"/>
        <v>3.1666186635944702</v>
      </c>
      <c r="R109">
        <f t="shared" si="9"/>
        <v>1139.9827188940092</v>
      </c>
      <c r="S109">
        <f t="shared" si="15"/>
        <v>1089</v>
      </c>
      <c r="T109">
        <f t="shared" si="16"/>
        <v>50.982718894009167</v>
      </c>
      <c r="U109">
        <f t="shared" si="32"/>
        <v>61</v>
      </c>
    </row>
    <row r="110" spans="1:21" x14ac:dyDescent="0.35">
      <c r="A110">
        <v>262</v>
      </c>
      <c r="B110">
        <v>64</v>
      </c>
      <c r="C110" s="4">
        <v>262</v>
      </c>
      <c r="D110" s="4">
        <f t="shared" si="17"/>
        <v>16768</v>
      </c>
      <c r="E110" s="4">
        <f t="shared" si="18"/>
        <v>4096</v>
      </c>
      <c r="F110" s="4">
        <f t="shared" si="19"/>
        <v>380751</v>
      </c>
      <c r="G110" s="4">
        <f t="shared" si="26"/>
        <v>2080</v>
      </c>
      <c r="H110" s="4">
        <f t="shared" si="27"/>
        <v>9575</v>
      </c>
      <c r="I110" s="4">
        <f t="shared" si="28"/>
        <v>89440</v>
      </c>
      <c r="J110" s="4">
        <f t="shared" si="29"/>
        <v>4326400</v>
      </c>
      <c r="K110" s="4">
        <f t="shared" si="30"/>
        <v>24368064</v>
      </c>
      <c r="L110" s="4">
        <f t="shared" si="20"/>
        <v>19916000</v>
      </c>
      <c r="M110" s="4">
        <f t="shared" si="21"/>
        <v>4452064</v>
      </c>
      <c r="N110" s="4">
        <f t="shared" si="22"/>
        <v>5724160</v>
      </c>
      <c r="O110" s="4">
        <f t="shared" si="23"/>
        <v>4326400</v>
      </c>
      <c r="P110" s="4">
        <f t="shared" si="24"/>
        <v>1397760</v>
      </c>
      <c r="Q110">
        <f t="shared" si="25"/>
        <v>3.1851419413919415</v>
      </c>
      <c r="R110">
        <f t="shared" si="9"/>
        <v>1146.651098901099</v>
      </c>
      <c r="S110">
        <f t="shared" si="15"/>
        <v>1095</v>
      </c>
      <c r="T110">
        <f t="shared" si="16"/>
        <v>51.651098901098976</v>
      </c>
      <c r="U110">
        <f t="shared" si="32"/>
        <v>59</v>
      </c>
    </row>
    <row r="111" spans="1:21" x14ac:dyDescent="0.35">
      <c r="A111">
        <v>267</v>
      </c>
      <c r="B111">
        <v>65</v>
      </c>
      <c r="C111" s="4">
        <v>267</v>
      </c>
      <c r="D111" s="4">
        <f t="shared" si="17"/>
        <v>17355</v>
      </c>
      <c r="E111" s="4">
        <f t="shared" si="18"/>
        <v>4225</v>
      </c>
      <c r="F111" s="4">
        <f t="shared" si="19"/>
        <v>398106</v>
      </c>
      <c r="G111" s="4">
        <f t="shared" si="26"/>
        <v>2145</v>
      </c>
      <c r="H111" s="4">
        <f t="shared" si="27"/>
        <v>9842</v>
      </c>
      <c r="I111" s="4">
        <f t="shared" si="28"/>
        <v>93665</v>
      </c>
      <c r="J111" s="4">
        <f t="shared" si="29"/>
        <v>4601025</v>
      </c>
      <c r="K111" s="4">
        <f t="shared" si="30"/>
        <v>25876890</v>
      </c>
      <c r="L111" s="4">
        <f t="shared" si="20"/>
        <v>21111090</v>
      </c>
      <c r="M111" s="4">
        <f t="shared" si="21"/>
        <v>4765800</v>
      </c>
      <c r="N111" s="4">
        <f t="shared" si="22"/>
        <v>6088225</v>
      </c>
      <c r="O111" s="4">
        <f t="shared" si="23"/>
        <v>4601025</v>
      </c>
      <c r="P111" s="4">
        <f t="shared" si="24"/>
        <v>1487200</v>
      </c>
      <c r="Q111">
        <f t="shared" si="25"/>
        <v>3.2045454545454546</v>
      </c>
      <c r="R111">
        <f t="shared" si="9"/>
        <v>1153.6363636363637</v>
      </c>
      <c r="S111">
        <f t="shared" si="15"/>
        <v>1100</v>
      </c>
      <c r="T111">
        <f t="shared" si="16"/>
        <v>53.63636363636374</v>
      </c>
      <c r="U111">
        <f t="shared" si="32"/>
        <v>58</v>
      </c>
    </row>
    <row r="112" spans="1:21" x14ac:dyDescent="0.35">
      <c r="A112">
        <v>270</v>
      </c>
      <c r="B112">
        <v>66</v>
      </c>
      <c r="C112" s="4">
        <v>270</v>
      </c>
      <c r="D112" s="4">
        <f t="shared" si="17"/>
        <v>17820</v>
      </c>
      <c r="E112" s="4">
        <f t="shared" si="18"/>
        <v>4356</v>
      </c>
      <c r="F112" s="4">
        <f t="shared" si="19"/>
        <v>415926</v>
      </c>
      <c r="G112" s="4">
        <f t="shared" si="26"/>
        <v>2211</v>
      </c>
      <c r="H112" s="4">
        <f t="shared" si="27"/>
        <v>10112</v>
      </c>
      <c r="I112" s="4">
        <f t="shared" si="28"/>
        <v>98021</v>
      </c>
      <c r="J112" s="4">
        <f t="shared" si="29"/>
        <v>4888521</v>
      </c>
      <c r="K112" s="4">
        <f t="shared" si="30"/>
        <v>27451116</v>
      </c>
      <c r="L112" s="4">
        <f t="shared" si="20"/>
        <v>22357632</v>
      </c>
      <c r="M112" s="4">
        <f t="shared" si="21"/>
        <v>5093484</v>
      </c>
      <c r="N112" s="4">
        <f t="shared" si="22"/>
        <v>6469386</v>
      </c>
      <c r="O112" s="4">
        <f t="shared" si="23"/>
        <v>4888521</v>
      </c>
      <c r="P112" s="4">
        <f t="shared" si="24"/>
        <v>1580865</v>
      </c>
      <c r="Q112">
        <f t="shared" si="25"/>
        <v>3.2219601294228162</v>
      </c>
      <c r="R112">
        <f t="shared" si="9"/>
        <v>1159.9056465922138</v>
      </c>
      <c r="S112">
        <f t="shared" si="15"/>
        <v>1106</v>
      </c>
      <c r="T112">
        <f t="shared" si="16"/>
        <v>53.90564659221377</v>
      </c>
      <c r="U112">
        <f t="shared" si="32"/>
        <v>58</v>
      </c>
    </row>
    <row r="113" spans="1:21" x14ac:dyDescent="0.35">
      <c r="A113">
        <v>273</v>
      </c>
      <c r="B113">
        <v>67</v>
      </c>
      <c r="C113" s="4">
        <v>273</v>
      </c>
      <c r="D113" s="4">
        <f t="shared" si="17"/>
        <v>18291</v>
      </c>
      <c r="E113" s="4">
        <f t="shared" si="18"/>
        <v>4489</v>
      </c>
      <c r="F113" s="4">
        <f t="shared" si="19"/>
        <v>434217</v>
      </c>
      <c r="G113" s="4">
        <f t="shared" si="26"/>
        <v>2278</v>
      </c>
      <c r="H113" s="4">
        <f t="shared" si="27"/>
        <v>10385</v>
      </c>
      <c r="I113" s="4">
        <f t="shared" si="28"/>
        <v>102510</v>
      </c>
      <c r="J113" s="4">
        <f t="shared" si="29"/>
        <v>5189284</v>
      </c>
      <c r="K113" s="4">
        <f t="shared" si="30"/>
        <v>29092539</v>
      </c>
      <c r="L113" s="4">
        <f t="shared" si="20"/>
        <v>23657030</v>
      </c>
      <c r="M113" s="4">
        <f t="shared" si="21"/>
        <v>5435509</v>
      </c>
      <c r="N113" s="4">
        <f t="shared" si="22"/>
        <v>6868170</v>
      </c>
      <c r="O113" s="4">
        <f t="shared" si="23"/>
        <v>5189284</v>
      </c>
      <c r="P113" s="4">
        <f t="shared" si="24"/>
        <v>1678886</v>
      </c>
      <c r="Q113">
        <f t="shared" si="25"/>
        <v>3.2375688402905261</v>
      </c>
      <c r="R113">
        <f t="shared" ref="R113:R160" si="33">Q113*360</f>
        <v>1165.5247825045894</v>
      </c>
      <c r="S113">
        <f t="shared" si="15"/>
        <v>1112</v>
      </c>
      <c r="T113">
        <f t="shared" si="16"/>
        <v>53.524782504589439</v>
      </c>
      <c r="U113">
        <f t="shared" si="32"/>
        <v>59</v>
      </c>
    </row>
    <row r="114" spans="1:21" x14ac:dyDescent="0.35">
      <c r="A114">
        <v>271</v>
      </c>
      <c r="B114">
        <v>68</v>
      </c>
      <c r="C114" s="4">
        <v>271</v>
      </c>
      <c r="D114" s="4">
        <f t="shared" si="17"/>
        <v>18428</v>
      </c>
      <c r="E114" s="4">
        <f t="shared" si="18"/>
        <v>4624</v>
      </c>
      <c r="F114" s="4">
        <f t="shared" si="19"/>
        <v>452645</v>
      </c>
      <c r="G114" s="4">
        <f t="shared" si="26"/>
        <v>2346</v>
      </c>
      <c r="H114" s="4">
        <f t="shared" si="27"/>
        <v>10656</v>
      </c>
      <c r="I114" s="4">
        <f t="shared" si="28"/>
        <v>107134</v>
      </c>
      <c r="J114" s="4">
        <f t="shared" si="29"/>
        <v>5503716</v>
      </c>
      <c r="K114" s="4">
        <f t="shared" si="30"/>
        <v>30779860</v>
      </c>
      <c r="L114" s="4">
        <f t="shared" si="20"/>
        <v>24998976</v>
      </c>
      <c r="M114" s="4">
        <f t="shared" si="21"/>
        <v>5780884</v>
      </c>
      <c r="N114" s="4">
        <f t="shared" si="22"/>
        <v>7285112</v>
      </c>
      <c r="O114" s="4">
        <f t="shared" si="23"/>
        <v>5503716</v>
      </c>
      <c r="P114" s="4">
        <f t="shared" si="24"/>
        <v>1781396</v>
      </c>
      <c r="Q114">
        <f t="shared" si="25"/>
        <v>3.2451425735771271</v>
      </c>
      <c r="R114">
        <f t="shared" si="33"/>
        <v>1168.2513264877657</v>
      </c>
      <c r="S114">
        <f t="shared" ref="S114:S160" si="34">INT(AVERAGE(R90:R114))</f>
        <v>1117</v>
      </c>
      <c r="T114">
        <f t="shared" ref="T114:T160" si="35">ABS(R114-S114)</f>
        <v>51.251326487765709</v>
      </c>
      <c r="U114">
        <f t="shared" si="32"/>
        <v>60</v>
      </c>
    </row>
    <row r="115" spans="1:21" x14ac:dyDescent="0.35">
      <c r="A115">
        <v>278</v>
      </c>
      <c r="B115">
        <v>69</v>
      </c>
      <c r="C115" s="4">
        <v>278</v>
      </c>
      <c r="D115" s="4">
        <f t="shared" ref="D115:D160" si="36">C115*B115</f>
        <v>19182</v>
      </c>
      <c r="E115" s="4">
        <f t="shared" ref="E115:E160" si="37">B115*B115</f>
        <v>4761</v>
      </c>
      <c r="F115" s="4">
        <f t="shared" ref="F115:F160" si="38">F114+D115</f>
        <v>471827</v>
      </c>
      <c r="G115" s="4">
        <f t="shared" si="26"/>
        <v>2415</v>
      </c>
      <c r="H115" s="4">
        <f t="shared" si="27"/>
        <v>10934</v>
      </c>
      <c r="I115" s="4">
        <f t="shared" si="28"/>
        <v>111895</v>
      </c>
      <c r="J115" s="4">
        <f t="shared" si="29"/>
        <v>5832225</v>
      </c>
      <c r="K115" s="4">
        <f t="shared" si="30"/>
        <v>32556063</v>
      </c>
      <c r="L115" s="4">
        <f t="shared" ref="L115:L160" si="39">G115*H115</f>
        <v>26405610</v>
      </c>
      <c r="M115" s="4">
        <f t="shared" ref="M115:M160" si="40">K115-L115</f>
        <v>6150453</v>
      </c>
      <c r="N115" s="4">
        <f t="shared" ref="N115:N160" si="41">B115*I115</f>
        <v>7720755</v>
      </c>
      <c r="O115" s="4">
        <f t="shared" ref="O115:O160" si="42">G115*G115</f>
        <v>5832225</v>
      </c>
      <c r="P115" s="4">
        <f t="shared" ref="P115:P160" si="43">N115-O115</f>
        <v>1888530</v>
      </c>
      <c r="Q115">
        <f t="shared" ref="Q115:Q160" si="44">M115/P115</f>
        <v>3.2567409572524664</v>
      </c>
      <c r="R115">
        <f t="shared" si="33"/>
        <v>1172.4267446108879</v>
      </c>
      <c r="S115">
        <f t="shared" si="34"/>
        <v>1122</v>
      </c>
      <c r="T115">
        <f t="shared" si="35"/>
        <v>50.426744610887908</v>
      </c>
      <c r="U115">
        <f t="shared" si="32"/>
        <v>62</v>
      </c>
    </row>
    <row r="116" spans="1:21" x14ac:dyDescent="0.35">
      <c r="A116">
        <v>261</v>
      </c>
      <c r="B116">
        <v>70</v>
      </c>
      <c r="C116" s="4">
        <v>261</v>
      </c>
      <c r="D116" s="4">
        <f t="shared" si="36"/>
        <v>18270</v>
      </c>
      <c r="E116" s="4">
        <f t="shared" si="37"/>
        <v>4900</v>
      </c>
      <c r="F116" s="4">
        <f t="shared" si="38"/>
        <v>490097</v>
      </c>
      <c r="G116" s="4">
        <f t="shared" ref="G116:G160" si="45">G115+B116</f>
        <v>2485</v>
      </c>
      <c r="H116" s="4">
        <f t="shared" ref="H116:H160" si="46">H115+C116</f>
        <v>11195</v>
      </c>
      <c r="I116" s="4">
        <f t="shared" ref="I116:I160" si="47">I115+E116</f>
        <v>116795</v>
      </c>
      <c r="J116" s="4">
        <f t="shared" ref="J116:J160" si="48">G116*G116</f>
        <v>6175225</v>
      </c>
      <c r="K116" s="4">
        <f t="shared" ref="K116:K160" si="49">B116*F116</f>
        <v>34306790</v>
      </c>
      <c r="L116" s="4">
        <f t="shared" si="39"/>
        <v>27819575</v>
      </c>
      <c r="M116" s="4">
        <f t="shared" si="40"/>
        <v>6487215</v>
      </c>
      <c r="N116" s="4">
        <f t="shared" si="41"/>
        <v>8175650</v>
      </c>
      <c r="O116" s="4">
        <f t="shared" si="42"/>
        <v>6175225</v>
      </c>
      <c r="P116" s="4">
        <f t="shared" si="43"/>
        <v>2000425</v>
      </c>
      <c r="Q116">
        <f t="shared" si="44"/>
        <v>3.2429183798442831</v>
      </c>
      <c r="R116">
        <f t="shared" si="33"/>
        <v>1167.450616743942</v>
      </c>
      <c r="S116">
        <f t="shared" si="34"/>
        <v>1127</v>
      </c>
      <c r="T116">
        <f t="shared" si="35"/>
        <v>40.450616743941964</v>
      </c>
      <c r="U116">
        <f t="shared" si="32"/>
        <v>63</v>
      </c>
    </row>
    <row r="117" spans="1:21" x14ac:dyDescent="0.35">
      <c r="A117">
        <v>271</v>
      </c>
      <c r="B117">
        <v>71</v>
      </c>
      <c r="C117" s="4">
        <v>271</v>
      </c>
      <c r="D117" s="4">
        <f t="shared" si="36"/>
        <v>19241</v>
      </c>
      <c r="E117" s="4">
        <f t="shared" si="37"/>
        <v>5041</v>
      </c>
      <c r="F117" s="4">
        <f t="shared" si="38"/>
        <v>509338</v>
      </c>
      <c r="G117" s="4">
        <f t="shared" si="45"/>
        <v>2556</v>
      </c>
      <c r="H117" s="4">
        <f t="shared" si="46"/>
        <v>11466</v>
      </c>
      <c r="I117" s="4">
        <f t="shared" si="47"/>
        <v>121836</v>
      </c>
      <c r="J117" s="4">
        <f t="shared" si="48"/>
        <v>6533136</v>
      </c>
      <c r="K117" s="4">
        <f t="shared" si="49"/>
        <v>36162998</v>
      </c>
      <c r="L117" s="4">
        <f t="shared" si="39"/>
        <v>29307096</v>
      </c>
      <c r="M117" s="4">
        <f t="shared" si="40"/>
        <v>6855902</v>
      </c>
      <c r="N117" s="4">
        <f t="shared" si="41"/>
        <v>8650356</v>
      </c>
      <c r="O117" s="4">
        <f t="shared" si="42"/>
        <v>6533136</v>
      </c>
      <c r="P117" s="4">
        <f t="shared" si="43"/>
        <v>2117220</v>
      </c>
      <c r="Q117">
        <f t="shared" si="44"/>
        <v>3.2381623071763919</v>
      </c>
      <c r="R117">
        <f t="shared" si="33"/>
        <v>1165.738430583501</v>
      </c>
      <c r="S117">
        <f t="shared" si="34"/>
        <v>1131</v>
      </c>
      <c r="T117">
        <f t="shared" si="35"/>
        <v>34.738430583500985</v>
      </c>
      <c r="U117">
        <f t="shared" si="32"/>
        <v>64</v>
      </c>
    </row>
    <row r="118" spans="1:21" x14ac:dyDescent="0.35">
      <c r="A118">
        <v>290</v>
      </c>
      <c r="B118">
        <v>72</v>
      </c>
      <c r="C118" s="4">
        <v>290</v>
      </c>
      <c r="D118" s="4">
        <f t="shared" si="36"/>
        <v>20880</v>
      </c>
      <c r="E118" s="4">
        <f t="shared" si="37"/>
        <v>5184</v>
      </c>
      <c r="F118" s="4">
        <f t="shared" si="38"/>
        <v>530218</v>
      </c>
      <c r="G118" s="4">
        <f t="shared" si="45"/>
        <v>2628</v>
      </c>
      <c r="H118" s="4">
        <f t="shared" si="46"/>
        <v>11756</v>
      </c>
      <c r="I118" s="4">
        <f t="shared" si="47"/>
        <v>127020</v>
      </c>
      <c r="J118" s="4">
        <f t="shared" si="48"/>
        <v>6906384</v>
      </c>
      <c r="K118" s="4">
        <f t="shared" si="49"/>
        <v>38175696</v>
      </c>
      <c r="L118" s="4">
        <f t="shared" si="39"/>
        <v>30894768</v>
      </c>
      <c r="M118" s="4">
        <f t="shared" si="40"/>
        <v>7280928</v>
      </c>
      <c r="N118" s="4">
        <f t="shared" si="41"/>
        <v>9145440</v>
      </c>
      <c r="O118" s="4">
        <f t="shared" si="42"/>
        <v>6906384</v>
      </c>
      <c r="P118" s="4">
        <f t="shared" si="43"/>
        <v>2239056</v>
      </c>
      <c r="Q118">
        <f t="shared" si="44"/>
        <v>3.2517846806868609</v>
      </c>
      <c r="R118">
        <f t="shared" si="33"/>
        <v>1170.6424850472699</v>
      </c>
      <c r="S118">
        <f t="shared" si="34"/>
        <v>1135</v>
      </c>
      <c r="T118">
        <f t="shared" si="35"/>
        <v>35.642485047269929</v>
      </c>
      <c r="U118">
        <f t="shared" si="32"/>
        <v>64</v>
      </c>
    </row>
    <row r="119" spans="1:21" x14ac:dyDescent="0.35">
      <c r="A119">
        <v>295</v>
      </c>
      <c r="B119">
        <v>73</v>
      </c>
      <c r="C119" s="4">
        <v>295</v>
      </c>
      <c r="D119" s="4">
        <f t="shared" si="36"/>
        <v>21535</v>
      </c>
      <c r="E119" s="4">
        <f t="shared" si="37"/>
        <v>5329</v>
      </c>
      <c r="F119" s="4">
        <f t="shared" si="38"/>
        <v>551753</v>
      </c>
      <c r="G119" s="4">
        <f t="shared" si="45"/>
        <v>2701</v>
      </c>
      <c r="H119" s="4">
        <f t="shared" si="46"/>
        <v>12051</v>
      </c>
      <c r="I119" s="4">
        <f t="shared" si="47"/>
        <v>132349</v>
      </c>
      <c r="J119" s="4">
        <f t="shared" si="48"/>
        <v>7295401</v>
      </c>
      <c r="K119" s="4">
        <f t="shared" si="49"/>
        <v>40277969</v>
      </c>
      <c r="L119" s="4">
        <f t="shared" si="39"/>
        <v>32549751</v>
      </c>
      <c r="M119" s="4">
        <f t="shared" si="40"/>
        <v>7728218</v>
      </c>
      <c r="N119" s="4">
        <f t="shared" si="41"/>
        <v>9661477</v>
      </c>
      <c r="O119" s="4">
        <f t="shared" si="42"/>
        <v>7295401</v>
      </c>
      <c r="P119" s="4">
        <f t="shared" si="43"/>
        <v>2366076</v>
      </c>
      <c r="Q119">
        <f t="shared" si="44"/>
        <v>3.2662594100950266</v>
      </c>
      <c r="R119">
        <f t="shared" si="33"/>
        <v>1175.8533876342096</v>
      </c>
      <c r="S119">
        <f t="shared" si="34"/>
        <v>1140</v>
      </c>
      <c r="T119">
        <f t="shared" si="35"/>
        <v>35.853387634209639</v>
      </c>
      <c r="U119">
        <f t="shared" si="32"/>
        <v>64</v>
      </c>
    </row>
    <row r="120" spans="1:21" x14ac:dyDescent="0.35">
      <c r="A120">
        <v>284</v>
      </c>
      <c r="B120">
        <v>74</v>
      </c>
      <c r="C120" s="4">
        <v>284</v>
      </c>
      <c r="D120" s="4">
        <f t="shared" si="36"/>
        <v>21016</v>
      </c>
      <c r="E120" s="4">
        <f t="shared" si="37"/>
        <v>5476</v>
      </c>
      <c r="F120" s="4">
        <f t="shared" si="38"/>
        <v>572769</v>
      </c>
      <c r="G120" s="4">
        <f t="shared" si="45"/>
        <v>2775</v>
      </c>
      <c r="H120" s="4">
        <f t="shared" si="46"/>
        <v>12335</v>
      </c>
      <c r="I120" s="4">
        <f t="shared" si="47"/>
        <v>137825</v>
      </c>
      <c r="J120" s="4">
        <f t="shared" si="48"/>
        <v>7700625</v>
      </c>
      <c r="K120" s="4">
        <f t="shared" si="49"/>
        <v>42384906</v>
      </c>
      <c r="L120" s="4">
        <f t="shared" si="39"/>
        <v>34229625</v>
      </c>
      <c r="M120" s="4">
        <f t="shared" si="40"/>
        <v>8155281</v>
      </c>
      <c r="N120" s="4">
        <f t="shared" si="41"/>
        <v>10199050</v>
      </c>
      <c r="O120" s="4">
        <f t="shared" si="42"/>
        <v>7700625</v>
      </c>
      <c r="P120" s="4">
        <f t="shared" si="43"/>
        <v>2498425</v>
      </c>
      <c r="Q120">
        <f t="shared" si="44"/>
        <v>3.2641688263606072</v>
      </c>
      <c r="R120">
        <f t="shared" si="33"/>
        <v>1175.1007774898187</v>
      </c>
      <c r="S120">
        <f t="shared" si="34"/>
        <v>1143</v>
      </c>
      <c r="T120">
        <f t="shared" si="35"/>
        <v>32.100777489818711</v>
      </c>
      <c r="U120">
        <f t="shared" si="32"/>
        <v>64</v>
      </c>
    </row>
    <row r="121" spans="1:21" x14ac:dyDescent="0.35">
      <c r="A121">
        <v>274</v>
      </c>
      <c r="B121">
        <v>75</v>
      </c>
      <c r="C121" s="4">
        <v>274</v>
      </c>
      <c r="D121" s="4">
        <f t="shared" si="36"/>
        <v>20550</v>
      </c>
      <c r="E121" s="4">
        <f t="shared" si="37"/>
        <v>5625</v>
      </c>
      <c r="F121" s="4">
        <f t="shared" si="38"/>
        <v>593319</v>
      </c>
      <c r="G121" s="4">
        <f t="shared" si="45"/>
        <v>2850</v>
      </c>
      <c r="H121" s="4">
        <f t="shared" si="46"/>
        <v>12609</v>
      </c>
      <c r="I121" s="4">
        <f t="shared" si="47"/>
        <v>143450</v>
      </c>
      <c r="J121" s="4">
        <f t="shared" si="48"/>
        <v>8122500</v>
      </c>
      <c r="K121" s="4">
        <f t="shared" si="49"/>
        <v>44498925</v>
      </c>
      <c r="L121" s="4">
        <f t="shared" si="39"/>
        <v>35935650</v>
      </c>
      <c r="M121" s="4">
        <f t="shared" si="40"/>
        <v>8563275</v>
      </c>
      <c r="N121" s="4">
        <f t="shared" si="41"/>
        <v>10758750</v>
      </c>
      <c r="O121" s="4">
        <f t="shared" si="42"/>
        <v>8122500</v>
      </c>
      <c r="P121" s="4">
        <f t="shared" si="43"/>
        <v>2636250</v>
      </c>
      <c r="Q121">
        <f t="shared" si="44"/>
        <v>3.2482788051209104</v>
      </c>
      <c r="R121">
        <f t="shared" si="33"/>
        <v>1169.3803698435277</v>
      </c>
      <c r="S121">
        <f t="shared" si="34"/>
        <v>1147</v>
      </c>
      <c r="T121">
        <f t="shared" si="35"/>
        <v>22.38036984352766</v>
      </c>
      <c r="U121">
        <f t="shared" si="32"/>
        <v>63</v>
      </c>
    </row>
    <row r="122" spans="1:21" x14ac:dyDescent="0.35">
      <c r="A122">
        <v>298</v>
      </c>
      <c r="B122">
        <v>76</v>
      </c>
      <c r="C122" s="4">
        <v>298</v>
      </c>
      <c r="D122" s="4">
        <f t="shared" si="36"/>
        <v>22648</v>
      </c>
      <c r="E122" s="4">
        <f t="shared" si="37"/>
        <v>5776</v>
      </c>
      <c r="F122" s="4">
        <f t="shared" si="38"/>
        <v>615967</v>
      </c>
      <c r="G122" s="4">
        <f t="shared" si="45"/>
        <v>2926</v>
      </c>
      <c r="H122" s="4">
        <f t="shared" si="46"/>
        <v>12907</v>
      </c>
      <c r="I122" s="4">
        <f t="shared" si="47"/>
        <v>149226</v>
      </c>
      <c r="J122" s="4">
        <f t="shared" si="48"/>
        <v>8561476</v>
      </c>
      <c r="K122" s="4">
        <f t="shared" si="49"/>
        <v>46813492</v>
      </c>
      <c r="L122" s="4">
        <f t="shared" si="39"/>
        <v>37765882</v>
      </c>
      <c r="M122" s="4">
        <f t="shared" si="40"/>
        <v>9047610</v>
      </c>
      <c r="N122" s="4">
        <f t="shared" si="41"/>
        <v>11341176</v>
      </c>
      <c r="O122" s="4">
        <f t="shared" si="42"/>
        <v>8561476</v>
      </c>
      <c r="P122" s="4">
        <f t="shared" si="43"/>
        <v>2779700</v>
      </c>
      <c r="Q122">
        <f t="shared" si="44"/>
        <v>3.2548872180451127</v>
      </c>
      <c r="R122">
        <f t="shared" si="33"/>
        <v>1171.7593984962405</v>
      </c>
      <c r="S122">
        <f t="shared" si="34"/>
        <v>1149</v>
      </c>
      <c r="T122">
        <f t="shared" si="35"/>
        <v>22.759398496240465</v>
      </c>
      <c r="U122">
        <f t="shared" si="32"/>
        <v>61</v>
      </c>
    </row>
    <row r="123" spans="1:21" x14ac:dyDescent="0.35">
      <c r="A123">
        <v>307</v>
      </c>
      <c r="B123">
        <v>77</v>
      </c>
      <c r="C123" s="4">
        <v>307</v>
      </c>
      <c r="D123" s="4">
        <f t="shared" si="36"/>
        <v>23639</v>
      </c>
      <c r="E123" s="4">
        <f t="shared" si="37"/>
        <v>5929</v>
      </c>
      <c r="F123" s="4">
        <f t="shared" si="38"/>
        <v>639606</v>
      </c>
      <c r="G123" s="4">
        <f t="shared" si="45"/>
        <v>3003</v>
      </c>
      <c r="H123" s="4">
        <f t="shared" si="46"/>
        <v>13214</v>
      </c>
      <c r="I123" s="4">
        <f t="shared" si="47"/>
        <v>155155</v>
      </c>
      <c r="J123" s="4">
        <f t="shared" si="48"/>
        <v>9018009</v>
      </c>
      <c r="K123" s="4">
        <f t="shared" si="49"/>
        <v>49249662</v>
      </c>
      <c r="L123" s="4">
        <f t="shared" si="39"/>
        <v>39681642</v>
      </c>
      <c r="M123" s="4">
        <f t="shared" si="40"/>
        <v>9568020</v>
      </c>
      <c r="N123" s="4">
        <f t="shared" si="41"/>
        <v>11946935</v>
      </c>
      <c r="O123" s="4">
        <f t="shared" si="42"/>
        <v>9018009</v>
      </c>
      <c r="P123" s="4">
        <f t="shared" si="43"/>
        <v>2928926</v>
      </c>
      <c r="Q123">
        <f t="shared" si="44"/>
        <v>3.2667332667332669</v>
      </c>
      <c r="R123">
        <f t="shared" si="33"/>
        <v>1176.023976023976</v>
      </c>
      <c r="S123">
        <f t="shared" si="34"/>
        <v>1153</v>
      </c>
      <c r="T123">
        <f t="shared" si="35"/>
        <v>23.023976023976047</v>
      </c>
      <c r="U123">
        <f t="shared" si="32"/>
        <v>59</v>
      </c>
    </row>
    <row r="124" spans="1:21" x14ac:dyDescent="0.35">
      <c r="A124">
        <v>312</v>
      </c>
      <c r="B124">
        <v>78</v>
      </c>
      <c r="C124" s="4">
        <v>312</v>
      </c>
      <c r="D124" s="4">
        <f t="shared" si="36"/>
        <v>24336</v>
      </c>
      <c r="E124" s="4">
        <f t="shared" si="37"/>
        <v>6084</v>
      </c>
      <c r="F124" s="4">
        <f t="shared" si="38"/>
        <v>663942</v>
      </c>
      <c r="G124" s="4">
        <f t="shared" si="45"/>
        <v>3081</v>
      </c>
      <c r="H124" s="4">
        <f t="shared" si="46"/>
        <v>13526</v>
      </c>
      <c r="I124" s="4">
        <f t="shared" si="47"/>
        <v>161239</v>
      </c>
      <c r="J124" s="4">
        <f t="shared" si="48"/>
        <v>9492561</v>
      </c>
      <c r="K124" s="4">
        <f t="shared" si="49"/>
        <v>51787476</v>
      </c>
      <c r="L124" s="4">
        <f t="shared" si="39"/>
        <v>41673606</v>
      </c>
      <c r="M124" s="4">
        <f t="shared" si="40"/>
        <v>10113870</v>
      </c>
      <c r="N124" s="4">
        <f t="shared" si="41"/>
        <v>12576642</v>
      </c>
      <c r="O124" s="4">
        <f t="shared" si="42"/>
        <v>9492561</v>
      </c>
      <c r="P124" s="4">
        <f t="shared" si="43"/>
        <v>3084081</v>
      </c>
      <c r="Q124">
        <f t="shared" si="44"/>
        <v>3.279378848999102</v>
      </c>
      <c r="R124">
        <f t="shared" si="33"/>
        <v>1180.5763856396768</v>
      </c>
      <c r="S124">
        <f t="shared" si="34"/>
        <v>1156</v>
      </c>
      <c r="T124">
        <f t="shared" si="35"/>
        <v>24.576385639676801</v>
      </c>
      <c r="U124">
        <f t="shared" si="32"/>
        <v>57</v>
      </c>
    </row>
    <row r="125" spans="1:21" x14ac:dyDescent="0.35">
      <c r="A125">
        <v>316</v>
      </c>
      <c r="B125">
        <v>79</v>
      </c>
      <c r="C125" s="4">
        <v>316</v>
      </c>
      <c r="D125" s="4">
        <f t="shared" si="36"/>
        <v>24964</v>
      </c>
      <c r="E125" s="4">
        <f t="shared" si="37"/>
        <v>6241</v>
      </c>
      <c r="F125" s="4">
        <f t="shared" si="38"/>
        <v>688906</v>
      </c>
      <c r="G125" s="4">
        <f t="shared" si="45"/>
        <v>3160</v>
      </c>
      <c r="H125" s="4">
        <f t="shared" si="46"/>
        <v>13842</v>
      </c>
      <c r="I125" s="4">
        <f t="shared" si="47"/>
        <v>167480</v>
      </c>
      <c r="J125" s="4">
        <f t="shared" si="48"/>
        <v>9985600</v>
      </c>
      <c r="K125" s="4">
        <f t="shared" si="49"/>
        <v>54423574</v>
      </c>
      <c r="L125" s="4">
        <f t="shared" si="39"/>
        <v>43740720</v>
      </c>
      <c r="M125" s="4">
        <f t="shared" si="40"/>
        <v>10682854</v>
      </c>
      <c r="N125" s="4">
        <f t="shared" si="41"/>
        <v>13230920</v>
      </c>
      <c r="O125" s="4">
        <f t="shared" si="42"/>
        <v>9985600</v>
      </c>
      <c r="P125" s="4">
        <f t="shared" si="43"/>
        <v>3245320</v>
      </c>
      <c r="Q125">
        <f t="shared" si="44"/>
        <v>3.291772151898734</v>
      </c>
      <c r="R125">
        <f t="shared" si="33"/>
        <v>1185.0379746835442</v>
      </c>
      <c r="S125">
        <f t="shared" si="34"/>
        <v>1159</v>
      </c>
      <c r="T125">
        <f t="shared" si="35"/>
        <v>26.037974683544235</v>
      </c>
      <c r="U125">
        <f t="shared" si="32"/>
        <v>55</v>
      </c>
    </row>
    <row r="126" spans="1:21" x14ac:dyDescent="0.35">
      <c r="A126">
        <v>319</v>
      </c>
      <c r="B126">
        <v>80</v>
      </c>
      <c r="C126" s="4">
        <v>319</v>
      </c>
      <c r="D126" s="4">
        <f t="shared" si="36"/>
        <v>25520</v>
      </c>
      <c r="E126" s="4">
        <f t="shared" si="37"/>
        <v>6400</v>
      </c>
      <c r="F126" s="4">
        <f t="shared" si="38"/>
        <v>714426</v>
      </c>
      <c r="G126" s="4">
        <f t="shared" si="45"/>
        <v>3240</v>
      </c>
      <c r="H126" s="4">
        <f t="shared" si="46"/>
        <v>14161</v>
      </c>
      <c r="I126" s="4">
        <f t="shared" si="47"/>
        <v>173880</v>
      </c>
      <c r="J126" s="4">
        <f t="shared" si="48"/>
        <v>10497600</v>
      </c>
      <c r="K126" s="4">
        <f t="shared" si="49"/>
        <v>57154080</v>
      </c>
      <c r="L126" s="4">
        <f t="shared" si="39"/>
        <v>45881640</v>
      </c>
      <c r="M126" s="4">
        <f t="shared" si="40"/>
        <v>11272440</v>
      </c>
      <c r="N126" s="4">
        <f t="shared" si="41"/>
        <v>13910400</v>
      </c>
      <c r="O126" s="4">
        <f t="shared" si="42"/>
        <v>10497600</v>
      </c>
      <c r="P126" s="4">
        <f t="shared" si="43"/>
        <v>3412800</v>
      </c>
      <c r="Q126">
        <f t="shared" si="44"/>
        <v>3.3029887482419129</v>
      </c>
      <c r="R126">
        <f t="shared" si="33"/>
        <v>1189.0759493670887</v>
      </c>
      <c r="S126">
        <f t="shared" si="34"/>
        <v>1161</v>
      </c>
      <c r="T126">
        <f t="shared" si="35"/>
        <v>28.075949367088697</v>
      </c>
      <c r="U126">
        <f t="shared" si="32"/>
        <v>52</v>
      </c>
    </row>
    <row r="127" spans="1:21" x14ac:dyDescent="0.35">
      <c r="A127">
        <v>323</v>
      </c>
      <c r="B127">
        <v>81</v>
      </c>
      <c r="C127" s="4">
        <v>323</v>
      </c>
      <c r="D127" s="4">
        <f t="shared" si="36"/>
        <v>26163</v>
      </c>
      <c r="E127" s="4">
        <f t="shared" si="37"/>
        <v>6561</v>
      </c>
      <c r="F127" s="4">
        <f t="shared" si="38"/>
        <v>740589</v>
      </c>
      <c r="G127" s="4">
        <f t="shared" si="45"/>
        <v>3321</v>
      </c>
      <c r="H127" s="4">
        <f t="shared" si="46"/>
        <v>14484</v>
      </c>
      <c r="I127" s="4">
        <f t="shared" si="47"/>
        <v>180441</v>
      </c>
      <c r="J127" s="4">
        <f t="shared" si="48"/>
        <v>11029041</v>
      </c>
      <c r="K127" s="4">
        <f t="shared" si="49"/>
        <v>59987709</v>
      </c>
      <c r="L127" s="4">
        <f t="shared" si="39"/>
        <v>48101364</v>
      </c>
      <c r="M127" s="4">
        <f t="shared" si="40"/>
        <v>11886345</v>
      </c>
      <c r="N127" s="4">
        <f t="shared" si="41"/>
        <v>14615721</v>
      </c>
      <c r="O127" s="4">
        <f t="shared" si="42"/>
        <v>11029041</v>
      </c>
      <c r="P127" s="4">
        <f t="shared" si="43"/>
        <v>3586680</v>
      </c>
      <c r="Q127">
        <f t="shared" si="44"/>
        <v>3.3140243902439024</v>
      </c>
      <c r="R127">
        <f t="shared" si="33"/>
        <v>1193.0487804878048</v>
      </c>
      <c r="S127">
        <f t="shared" si="34"/>
        <v>1163</v>
      </c>
      <c r="T127">
        <f t="shared" si="35"/>
        <v>30.048780487804834</v>
      </c>
      <c r="U127">
        <f t="shared" si="32"/>
        <v>50</v>
      </c>
    </row>
    <row r="128" spans="1:21" x14ac:dyDescent="0.35">
      <c r="A128">
        <v>325</v>
      </c>
      <c r="B128">
        <v>82</v>
      </c>
      <c r="C128" s="4">
        <v>325</v>
      </c>
      <c r="D128" s="4">
        <f t="shared" si="36"/>
        <v>26650</v>
      </c>
      <c r="E128" s="4">
        <f t="shared" si="37"/>
        <v>6724</v>
      </c>
      <c r="F128" s="4">
        <f t="shared" si="38"/>
        <v>767239</v>
      </c>
      <c r="G128" s="4">
        <f t="shared" si="45"/>
        <v>3403</v>
      </c>
      <c r="H128" s="4">
        <f t="shared" si="46"/>
        <v>14809</v>
      </c>
      <c r="I128" s="4">
        <f t="shared" si="47"/>
        <v>187165</v>
      </c>
      <c r="J128" s="4">
        <f t="shared" si="48"/>
        <v>11580409</v>
      </c>
      <c r="K128" s="4">
        <f t="shared" si="49"/>
        <v>62913598</v>
      </c>
      <c r="L128" s="4">
        <f t="shared" si="39"/>
        <v>50395027</v>
      </c>
      <c r="M128" s="4">
        <f t="shared" si="40"/>
        <v>12518571</v>
      </c>
      <c r="N128" s="4">
        <f t="shared" si="41"/>
        <v>15347530</v>
      </c>
      <c r="O128" s="4">
        <f t="shared" si="42"/>
        <v>11580409</v>
      </c>
      <c r="P128" s="4">
        <f t="shared" si="43"/>
        <v>3767121</v>
      </c>
      <c r="Q128">
        <f t="shared" si="44"/>
        <v>3.3231135925817088</v>
      </c>
      <c r="R128">
        <f t="shared" si="33"/>
        <v>1196.3208933294152</v>
      </c>
      <c r="S128">
        <f t="shared" si="34"/>
        <v>1165</v>
      </c>
      <c r="T128">
        <f t="shared" si="35"/>
        <v>31.320893329415185</v>
      </c>
      <c r="U128">
        <f t="shared" si="32"/>
        <v>47</v>
      </c>
    </row>
    <row r="129" spans="1:21" x14ac:dyDescent="0.35">
      <c r="A129">
        <v>328</v>
      </c>
      <c r="B129">
        <v>83</v>
      </c>
      <c r="C129" s="4">
        <v>328</v>
      </c>
      <c r="D129" s="4">
        <f t="shared" si="36"/>
        <v>27224</v>
      </c>
      <c r="E129" s="4">
        <f t="shared" si="37"/>
        <v>6889</v>
      </c>
      <c r="F129" s="4">
        <f t="shared" si="38"/>
        <v>794463</v>
      </c>
      <c r="G129" s="4">
        <f t="shared" si="45"/>
        <v>3486</v>
      </c>
      <c r="H129" s="4">
        <f t="shared" si="46"/>
        <v>15137</v>
      </c>
      <c r="I129" s="4">
        <f t="shared" si="47"/>
        <v>194054</v>
      </c>
      <c r="J129" s="4">
        <f t="shared" si="48"/>
        <v>12152196</v>
      </c>
      <c r="K129" s="4">
        <f t="shared" si="49"/>
        <v>65940429</v>
      </c>
      <c r="L129" s="4">
        <f t="shared" si="39"/>
        <v>52767582</v>
      </c>
      <c r="M129" s="4">
        <f t="shared" si="40"/>
        <v>13172847</v>
      </c>
      <c r="N129" s="4">
        <f t="shared" si="41"/>
        <v>16106482</v>
      </c>
      <c r="O129" s="4">
        <f t="shared" si="42"/>
        <v>12152196</v>
      </c>
      <c r="P129" s="4">
        <f t="shared" si="43"/>
        <v>3954286</v>
      </c>
      <c r="Q129">
        <f t="shared" si="44"/>
        <v>3.3312833214390665</v>
      </c>
      <c r="R129">
        <f t="shared" si="33"/>
        <v>1199.2619957180639</v>
      </c>
      <c r="S129">
        <f t="shared" si="34"/>
        <v>1168</v>
      </c>
      <c r="T129">
        <f t="shared" si="35"/>
        <v>31.261995718063872</v>
      </c>
      <c r="U129">
        <f t="shared" si="32"/>
        <v>45</v>
      </c>
    </row>
    <row r="130" spans="1:21" x14ac:dyDescent="0.35">
      <c r="A130">
        <v>330</v>
      </c>
      <c r="B130">
        <v>84</v>
      </c>
      <c r="C130" s="4">
        <v>330</v>
      </c>
      <c r="D130" s="4">
        <f t="shared" si="36"/>
        <v>27720</v>
      </c>
      <c r="E130" s="4">
        <f t="shared" si="37"/>
        <v>7056</v>
      </c>
      <c r="F130" s="4">
        <f t="shared" si="38"/>
        <v>822183</v>
      </c>
      <c r="G130" s="4">
        <f t="shared" si="45"/>
        <v>3570</v>
      </c>
      <c r="H130" s="4">
        <f t="shared" si="46"/>
        <v>15467</v>
      </c>
      <c r="I130" s="4">
        <f t="shared" si="47"/>
        <v>201110</v>
      </c>
      <c r="J130" s="4">
        <f t="shared" si="48"/>
        <v>12744900</v>
      </c>
      <c r="K130" s="4">
        <f t="shared" si="49"/>
        <v>69063372</v>
      </c>
      <c r="L130" s="4">
        <f t="shared" si="39"/>
        <v>55217190</v>
      </c>
      <c r="M130" s="4">
        <f t="shared" si="40"/>
        <v>13846182</v>
      </c>
      <c r="N130" s="4">
        <f t="shared" si="41"/>
        <v>16893240</v>
      </c>
      <c r="O130" s="4">
        <f t="shared" si="42"/>
        <v>12744900</v>
      </c>
      <c r="P130" s="4">
        <f t="shared" si="43"/>
        <v>4148340</v>
      </c>
      <c r="Q130">
        <f t="shared" si="44"/>
        <v>3.337764503391718</v>
      </c>
      <c r="R130">
        <f t="shared" si="33"/>
        <v>1201.5952212210184</v>
      </c>
      <c r="S130">
        <f t="shared" si="34"/>
        <v>1170</v>
      </c>
      <c r="T130">
        <f t="shared" si="35"/>
        <v>31.595221221018392</v>
      </c>
      <c r="U130">
        <f t="shared" si="32"/>
        <v>43</v>
      </c>
    </row>
    <row r="131" spans="1:21" x14ac:dyDescent="0.35">
      <c r="A131">
        <v>332</v>
      </c>
      <c r="B131">
        <v>85</v>
      </c>
      <c r="C131" s="4">
        <v>332</v>
      </c>
      <c r="D131" s="4">
        <f t="shared" si="36"/>
        <v>28220</v>
      </c>
      <c r="E131" s="4">
        <f t="shared" si="37"/>
        <v>7225</v>
      </c>
      <c r="F131" s="4">
        <f t="shared" si="38"/>
        <v>850403</v>
      </c>
      <c r="G131" s="4">
        <f t="shared" si="45"/>
        <v>3655</v>
      </c>
      <c r="H131" s="4">
        <f t="shared" si="46"/>
        <v>15799</v>
      </c>
      <c r="I131" s="4">
        <f t="shared" si="47"/>
        <v>208335</v>
      </c>
      <c r="J131" s="4">
        <f t="shared" si="48"/>
        <v>13359025</v>
      </c>
      <c r="K131" s="4">
        <f t="shared" si="49"/>
        <v>72284255</v>
      </c>
      <c r="L131" s="4">
        <f t="shared" si="39"/>
        <v>57745345</v>
      </c>
      <c r="M131" s="4">
        <f t="shared" si="40"/>
        <v>14538910</v>
      </c>
      <c r="N131" s="4">
        <f t="shared" si="41"/>
        <v>17708475</v>
      </c>
      <c r="O131" s="4">
        <f t="shared" si="42"/>
        <v>13359025</v>
      </c>
      <c r="P131" s="4">
        <f t="shared" si="43"/>
        <v>4349450</v>
      </c>
      <c r="Q131">
        <f t="shared" si="44"/>
        <v>3.3427008012507327</v>
      </c>
      <c r="R131">
        <f t="shared" si="33"/>
        <v>1203.3722884502638</v>
      </c>
      <c r="S131">
        <f t="shared" si="34"/>
        <v>1173</v>
      </c>
      <c r="T131">
        <f t="shared" si="35"/>
        <v>30.372288450263795</v>
      </c>
      <c r="U131">
        <f t="shared" si="32"/>
        <v>41</v>
      </c>
    </row>
    <row r="132" spans="1:21" x14ac:dyDescent="0.35">
      <c r="A132">
        <v>336</v>
      </c>
      <c r="B132">
        <v>86</v>
      </c>
      <c r="C132" s="4">
        <v>336</v>
      </c>
      <c r="D132" s="4">
        <f t="shared" si="36"/>
        <v>28896</v>
      </c>
      <c r="E132" s="4">
        <f t="shared" si="37"/>
        <v>7396</v>
      </c>
      <c r="F132" s="4">
        <f t="shared" si="38"/>
        <v>879299</v>
      </c>
      <c r="G132" s="4">
        <f t="shared" si="45"/>
        <v>3741</v>
      </c>
      <c r="H132" s="4">
        <f t="shared" si="46"/>
        <v>16135</v>
      </c>
      <c r="I132" s="4">
        <f t="shared" si="47"/>
        <v>215731</v>
      </c>
      <c r="J132" s="4">
        <f t="shared" si="48"/>
        <v>13995081</v>
      </c>
      <c r="K132" s="4">
        <f t="shared" si="49"/>
        <v>75619714</v>
      </c>
      <c r="L132" s="4">
        <f t="shared" si="39"/>
        <v>60361035</v>
      </c>
      <c r="M132" s="4">
        <f t="shared" si="40"/>
        <v>15258679</v>
      </c>
      <c r="N132" s="4">
        <f t="shared" si="41"/>
        <v>18552866</v>
      </c>
      <c r="O132" s="4">
        <f t="shared" si="42"/>
        <v>13995081</v>
      </c>
      <c r="P132" s="4">
        <f t="shared" si="43"/>
        <v>4557785</v>
      </c>
      <c r="Q132">
        <f t="shared" si="44"/>
        <v>3.347827727723006</v>
      </c>
      <c r="R132">
        <f t="shared" si="33"/>
        <v>1205.217981980282</v>
      </c>
      <c r="S132">
        <f t="shared" si="34"/>
        <v>1175</v>
      </c>
      <c r="T132">
        <f t="shared" si="35"/>
        <v>30.217981980282048</v>
      </c>
      <c r="U132">
        <f t="shared" si="32"/>
        <v>39</v>
      </c>
    </row>
    <row r="133" spans="1:21" x14ac:dyDescent="0.35">
      <c r="A133">
        <v>323</v>
      </c>
      <c r="B133">
        <v>87</v>
      </c>
      <c r="C133" s="4">
        <v>323</v>
      </c>
      <c r="D133" s="4">
        <f t="shared" si="36"/>
        <v>28101</v>
      </c>
      <c r="E133" s="4">
        <f t="shared" si="37"/>
        <v>7569</v>
      </c>
      <c r="F133" s="4">
        <f t="shared" si="38"/>
        <v>907400</v>
      </c>
      <c r="G133" s="4">
        <f t="shared" si="45"/>
        <v>3828</v>
      </c>
      <c r="H133" s="4">
        <f t="shared" si="46"/>
        <v>16458</v>
      </c>
      <c r="I133" s="4">
        <f t="shared" si="47"/>
        <v>223300</v>
      </c>
      <c r="J133" s="4">
        <f t="shared" si="48"/>
        <v>14653584</v>
      </c>
      <c r="K133" s="4">
        <f t="shared" si="49"/>
        <v>78943800</v>
      </c>
      <c r="L133" s="4">
        <f t="shared" si="39"/>
        <v>63001224</v>
      </c>
      <c r="M133" s="4">
        <f t="shared" si="40"/>
        <v>15942576</v>
      </c>
      <c r="N133" s="4">
        <f t="shared" si="41"/>
        <v>19427100</v>
      </c>
      <c r="O133" s="4">
        <f t="shared" si="42"/>
        <v>14653584</v>
      </c>
      <c r="P133" s="4">
        <f t="shared" si="43"/>
        <v>4773516</v>
      </c>
      <c r="Q133">
        <f t="shared" si="44"/>
        <v>3.3397973317780858</v>
      </c>
      <c r="R133">
        <f t="shared" si="33"/>
        <v>1202.3270394401109</v>
      </c>
      <c r="S133">
        <f t="shared" si="34"/>
        <v>1177</v>
      </c>
      <c r="T133">
        <f t="shared" si="35"/>
        <v>25.327039440110866</v>
      </c>
      <c r="U133">
        <f t="shared" si="32"/>
        <v>37</v>
      </c>
    </row>
    <row r="134" spans="1:21" x14ac:dyDescent="0.35">
      <c r="A134">
        <v>313</v>
      </c>
      <c r="B134">
        <v>88</v>
      </c>
      <c r="C134" s="4">
        <v>313</v>
      </c>
      <c r="D134" s="4">
        <f t="shared" si="36"/>
        <v>27544</v>
      </c>
      <c r="E134" s="4">
        <f t="shared" si="37"/>
        <v>7744</v>
      </c>
      <c r="F134" s="4">
        <f t="shared" si="38"/>
        <v>934944</v>
      </c>
      <c r="G134" s="4">
        <f t="shared" si="45"/>
        <v>3916</v>
      </c>
      <c r="H134" s="4">
        <f t="shared" si="46"/>
        <v>16771</v>
      </c>
      <c r="I134" s="4">
        <f t="shared" si="47"/>
        <v>231044</v>
      </c>
      <c r="J134" s="4">
        <f t="shared" si="48"/>
        <v>15335056</v>
      </c>
      <c r="K134" s="4">
        <f t="shared" si="49"/>
        <v>82275072</v>
      </c>
      <c r="L134" s="4">
        <f t="shared" si="39"/>
        <v>65675236</v>
      </c>
      <c r="M134" s="4">
        <f t="shared" si="40"/>
        <v>16599836</v>
      </c>
      <c r="N134" s="4">
        <f t="shared" si="41"/>
        <v>20331872</v>
      </c>
      <c r="O134" s="4">
        <f t="shared" si="42"/>
        <v>15335056</v>
      </c>
      <c r="P134" s="4">
        <f t="shared" si="43"/>
        <v>4996816</v>
      </c>
      <c r="Q134">
        <f t="shared" si="44"/>
        <v>3.3220827022648023</v>
      </c>
      <c r="R134">
        <f t="shared" si="33"/>
        <v>1195.9497728153287</v>
      </c>
      <c r="S134">
        <f t="shared" si="34"/>
        <v>1179</v>
      </c>
      <c r="T134">
        <f t="shared" si="35"/>
        <v>16.949772815328743</v>
      </c>
      <c r="U134">
        <f t="shared" si="32"/>
        <v>36</v>
      </c>
    </row>
    <row r="135" spans="1:21" x14ac:dyDescent="0.35">
      <c r="A135">
        <v>340</v>
      </c>
      <c r="B135">
        <v>89</v>
      </c>
      <c r="C135" s="4">
        <v>340</v>
      </c>
      <c r="D135" s="4">
        <f t="shared" si="36"/>
        <v>30260</v>
      </c>
      <c r="E135" s="4">
        <f t="shared" si="37"/>
        <v>7921</v>
      </c>
      <c r="F135" s="4">
        <f t="shared" si="38"/>
        <v>965204</v>
      </c>
      <c r="G135" s="4">
        <f t="shared" si="45"/>
        <v>4005</v>
      </c>
      <c r="H135" s="4">
        <f t="shared" si="46"/>
        <v>17111</v>
      </c>
      <c r="I135" s="4">
        <f t="shared" si="47"/>
        <v>238965</v>
      </c>
      <c r="J135" s="4">
        <f t="shared" si="48"/>
        <v>16040025</v>
      </c>
      <c r="K135" s="4">
        <f t="shared" si="49"/>
        <v>85903156</v>
      </c>
      <c r="L135" s="4">
        <f t="shared" si="39"/>
        <v>68529555</v>
      </c>
      <c r="M135" s="4">
        <f t="shared" si="40"/>
        <v>17373601</v>
      </c>
      <c r="N135" s="4">
        <f t="shared" si="41"/>
        <v>21267885</v>
      </c>
      <c r="O135" s="4">
        <f t="shared" si="42"/>
        <v>16040025</v>
      </c>
      <c r="P135" s="4">
        <f t="shared" si="43"/>
        <v>5227860</v>
      </c>
      <c r="Q135">
        <f t="shared" si="44"/>
        <v>3.3232720463057541</v>
      </c>
      <c r="R135">
        <f t="shared" si="33"/>
        <v>1196.3779366700714</v>
      </c>
      <c r="S135">
        <f t="shared" si="34"/>
        <v>1181</v>
      </c>
      <c r="T135">
        <f t="shared" si="35"/>
        <v>15.377936670071449</v>
      </c>
      <c r="U135">
        <f t="shared" si="32"/>
        <v>34</v>
      </c>
    </row>
    <row r="136" spans="1:21" x14ac:dyDescent="0.35">
      <c r="A136">
        <v>346</v>
      </c>
      <c r="B136">
        <v>90</v>
      </c>
      <c r="C136" s="4">
        <v>346</v>
      </c>
      <c r="D136" s="4">
        <f t="shared" si="36"/>
        <v>31140</v>
      </c>
      <c r="E136" s="4">
        <f t="shared" si="37"/>
        <v>8100</v>
      </c>
      <c r="F136" s="4">
        <f t="shared" si="38"/>
        <v>996344</v>
      </c>
      <c r="G136" s="4">
        <f t="shared" si="45"/>
        <v>4095</v>
      </c>
      <c r="H136" s="4">
        <f t="shared" si="46"/>
        <v>17457</v>
      </c>
      <c r="I136" s="4">
        <f t="shared" si="47"/>
        <v>247065</v>
      </c>
      <c r="J136" s="4">
        <f t="shared" si="48"/>
        <v>16769025</v>
      </c>
      <c r="K136" s="4">
        <f t="shared" si="49"/>
        <v>89670960</v>
      </c>
      <c r="L136" s="4">
        <f t="shared" si="39"/>
        <v>71486415</v>
      </c>
      <c r="M136" s="4">
        <f t="shared" si="40"/>
        <v>18184545</v>
      </c>
      <c r="N136" s="4">
        <f t="shared" si="41"/>
        <v>22235850</v>
      </c>
      <c r="O136" s="4">
        <f t="shared" si="42"/>
        <v>16769025</v>
      </c>
      <c r="P136" s="4">
        <f t="shared" si="43"/>
        <v>5466825</v>
      </c>
      <c r="Q136">
        <f t="shared" si="44"/>
        <v>3.3263448162324565</v>
      </c>
      <c r="R136">
        <f t="shared" si="33"/>
        <v>1197.4841338436843</v>
      </c>
      <c r="S136">
        <f t="shared" si="34"/>
        <v>1183</v>
      </c>
      <c r="T136">
        <f t="shared" si="35"/>
        <v>14.484133843684276</v>
      </c>
      <c r="U136">
        <f t="shared" si="32"/>
        <v>33</v>
      </c>
    </row>
    <row r="137" spans="1:21" x14ac:dyDescent="0.35">
      <c r="A137">
        <v>330</v>
      </c>
      <c r="B137">
        <v>91</v>
      </c>
      <c r="C137" s="4">
        <v>330</v>
      </c>
      <c r="D137" s="4">
        <f t="shared" si="36"/>
        <v>30030</v>
      </c>
      <c r="E137" s="4">
        <f t="shared" si="37"/>
        <v>8281</v>
      </c>
      <c r="F137" s="4">
        <f t="shared" si="38"/>
        <v>1026374</v>
      </c>
      <c r="G137" s="4">
        <f t="shared" si="45"/>
        <v>4186</v>
      </c>
      <c r="H137" s="4">
        <f t="shared" si="46"/>
        <v>17787</v>
      </c>
      <c r="I137" s="4">
        <f t="shared" si="47"/>
        <v>255346</v>
      </c>
      <c r="J137" s="4">
        <f t="shared" si="48"/>
        <v>17522596</v>
      </c>
      <c r="K137" s="4">
        <f t="shared" si="49"/>
        <v>93400034</v>
      </c>
      <c r="L137" s="4">
        <f t="shared" si="39"/>
        <v>74456382</v>
      </c>
      <c r="M137" s="4">
        <f t="shared" si="40"/>
        <v>18943652</v>
      </c>
      <c r="N137" s="4">
        <f t="shared" si="41"/>
        <v>23236486</v>
      </c>
      <c r="O137" s="4">
        <f t="shared" si="42"/>
        <v>17522596</v>
      </c>
      <c r="P137" s="4">
        <f t="shared" si="43"/>
        <v>5713890</v>
      </c>
      <c r="Q137">
        <f t="shared" si="44"/>
        <v>3.3153686892817329</v>
      </c>
      <c r="R137">
        <f t="shared" si="33"/>
        <v>1193.5327281414238</v>
      </c>
      <c r="S137">
        <f t="shared" si="34"/>
        <v>1184</v>
      </c>
      <c r="T137">
        <f t="shared" si="35"/>
        <v>9.5327281414238314</v>
      </c>
      <c r="U137">
        <f t="shared" si="32"/>
        <v>31</v>
      </c>
    </row>
    <row r="138" spans="1:21" x14ac:dyDescent="0.35">
      <c r="A138">
        <v>354</v>
      </c>
      <c r="B138">
        <v>92</v>
      </c>
      <c r="C138" s="4">
        <v>354</v>
      </c>
      <c r="D138" s="4">
        <f t="shared" si="36"/>
        <v>32568</v>
      </c>
      <c r="E138" s="4">
        <f t="shared" si="37"/>
        <v>8464</v>
      </c>
      <c r="F138" s="4">
        <f t="shared" si="38"/>
        <v>1058942</v>
      </c>
      <c r="G138" s="4">
        <f t="shared" si="45"/>
        <v>4278</v>
      </c>
      <c r="H138" s="4">
        <f t="shared" si="46"/>
        <v>18141</v>
      </c>
      <c r="I138" s="4">
        <f t="shared" si="47"/>
        <v>263810</v>
      </c>
      <c r="J138" s="4">
        <f t="shared" si="48"/>
        <v>18301284</v>
      </c>
      <c r="K138" s="4">
        <f t="shared" si="49"/>
        <v>97422664</v>
      </c>
      <c r="L138" s="4">
        <f t="shared" si="39"/>
        <v>77607198</v>
      </c>
      <c r="M138" s="4">
        <f t="shared" si="40"/>
        <v>19815466</v>
      </c>
      <c r="N138" s="4">
        <f t="shared" si="41"/>
        <v>24270520</v>
      </c>
      <c r="O138" s="4">
        <f t="shared" si="42"/>
        <v>18301284</v>
      </c>
      <c r="P138" s="4">
        <f t="shared" si="43"/>
        <v>5969236</v>
      </c>
      <c r="Q138">
        <f t="shared" si="44"/>
        <v>3.3195983539602052</v>
      </c>
      <c r="R138">
        <f t="shared" si="33"/>
        <v>1195.0554074256738</v>
      </c>
      <c r="S138">
        <f t="shared" si="34"/>
        <v>1185</v>
      </c>
      <c r="T138">
        <f t="shared" si="35"/>
        <v>10.05540742567382</v>
      </c>
      <c r="U138">
        <f t="shared" si="32"/>
        <v>29</v>
      </c>
    </row>
    <row r="139" spans="1:21" x14ac:dyDescent="0.35">
      <c r="A139">
        <v>360</v>
      </c>
      <c r="B139">
        <v>93</v>
      </c>
      <c r="C139" s="4">
        <v>360</v>
      </c>
      <c r="D139" s="4">
        <f t="shared" si="36"/>
        <v>33480</v>
      </c>
      <c r="E139" s="4">
        <f t="shared" si="37"/>
        <v>8649</v>
      </c>
      <c r="F139" s="4">
        <f t="shared" si="38"/>
        <v>1092422</v>
      </c>
      <c r="G139" s="4">
        <f t="shared" si="45"/>
        <v>4371</v>
      </c>
      <c r="H139" s="4">
        <f t="shared" si="46"/>
        <v>18501</v>
      </c>
      <c r="I139" s="4">
        <f t="shared" si="47"/>
        <v>272459</v>
      </c>
      <c r="J139" s="4">
        <f t="shared" si="48"/>
        <v>19105641</v>
      </c>
      <c r="K139" s="4">
        <f t="shared" si="49"/>
        <v>101595246</v>
      </c>
      <c r="L139" s="4">
        <f t="shared" si="39"/>
        <v>80867871</v>
      </c>
      <c r="M139" s="4">
        <f t="shared" si="40"/>
        <v>20727375</v>
      </c>
      <c r="N139" s="4">
        <f t="shared" si="41"/>
        <v>25338687</v>
      </c>
      <c r="O139" s="4">
        <f t="shared" si="42"/>
        <v>19105641</v>
      </c>
      <c r="P139" s="4">
        <f t="shared" si="43"/>
        <v>6233046</v>
      </c>
      <c r="Q139">
        <f t="shared" si="44"/>
        <v>3.3254006147235238</v>
      </c>
      <c r="R139">
        <f t="shared" si="33"/>
        <v>1197.1442213004686</v>
      </c>
      <c r="S139">
        <f t="shared" si="34"/>
        <v>1187</v>
      </c>
      <c r="T139">
        <f t="shared" si="35"/>
        <v>10.144221300468644</v>
      </c>
      <c r="U139">
        <f t="shared" si="32"/>
        <v>28</v>
      </c>
    </row>
    <row r="140" spans="1:21" x14ac:dyDescent="0.35">
      <c r="A140">
        <v>363</v>
      </c>
      <c r="B140">
        <v>94</v>
      </c>
      <c r="C140" s="4">
        <v>363</v>
      </c>
      <c r="D140" s="4">
        <f t="shared" si="36"/>
        <v>34122</v>
      </c>
      <c r="E140" s="4">
        <f t="shared" si="37"/>
        <v>8836</v>
      </c>
      <c r="F140" s="4">
        <f t="shared" si="38"/>
        <v>1126544</v>
      </c>
      <c r="G140" s="4">
        <f t="shared" si="45"/>
        <v>4465</v>
      </c>
      <c r="H140" s="4">
        <f t="shared" si="46"/>
        <v>18864</v>
      </c>
      <c r="I140" s="4">
        <f t="shared" si="47"/>
        <v>281295</v>
      </c>
      <c r="J140" s="4">
        <f t="shared" si="48"/>
        <v>19936225</v>
      </c>
      <c r="K140" s="4">
        <f t="shared" si="49"/>
        <v>105895136</v>
      </c>
      <c r="L140" s="4">
        <f t="shared" si="39"/>
        <v>84227760</v>
      </c>
      <c r="M140" s="4">
        <f t="shared" si="40"/>
        <v>21667376</v>
      </c>
      <c r="N140" s="4">
        <f t="shared" si="41"/>
        <v>26441730</v>
      </c>
      <c r="O140" s="4">
        <f t="shared" si="42"/>
        <v>19936225</v>
      </c>
      <c r="P140" s="4">
        <f t="shared" si="43"/>
        <v>6505505</v>
      </c>
      <c r="Q140">
        <f t="shared" si="44"/>
        <v>3.3306216811761731</v>
      </c>
      <c r="R140">
        <f t="shared" si="33"/>
        <v>1199.0238052234224</v>
      </c>
      <c r="S140">
        <f t="shared" si="34"/>
        <v>1188</v>
      </c>
      <c r="T140">
        <f t="shared" si="35"/>
        <v>11.023805223422414</v>
      </c>
      <c r="U140">
        <f t="shared" si="32"/>
        <v>26</v>
      </c>
    </row>
    <row r="141" spans="1:21" x14ac:dyDescent="0.35">
      <c r="A141">
        <v>367</v>
      </c>
      <c r="B141">
        <v>95</v>
      </c>
      <c r="C141" s="4">
        <v>367</v>
      </c>
      <c r="D141" s="4">
        <f t="shared" si="36"/>
        <v>34865</v>
      </c>
      <c r="E141" s="4">
        <f t="shared" si="37"/>
        <v>9025</v>
      </c>
      <c r="F141" s="4">
        <f t="shared" si="38"/>
        <v>1161409</v>
      </c>
      <c r="G141" s="4">
        <f t="shared" si="45"/>
        <v>4560</v>
      </c>
      <c r="H141" s="4">
        <f t="shared" si="46"/>
        <v>19231</v>
      </c>
      <c r="I141" s="4">
        <f t="shared" si="47"/>
        <v>290320</v>
      </c>
      <c r="J141" s="4">
        <f t="shared" si="48"/>
        <v>20793600</v>
      </c>
      <c r="K141" s="4">
        <f t="shared" si="49"/>
        <v>110333855</v>
      </c>
      <c r="L141" s="4">
        <f t="shared" si="39"/>
        <v>87693360</v>
      </c>
      <c r="M141" s="4">
        <f t="shared" si="40"/>
        <v>22640495</v>
      </c>
      <c r="N141" s="4">
        <f t="shared" si="41"/>
        <v>27580400</v>
      </c>
      <c r="O141" s="4">
        <f t="shared" si="42"/>
        <v>20793600</v>
      </c>
      <c r="P141" s="4">
        <f t="shared" si="43"/>
        <v>6786800</v>
      </c>
      <c r="Q141">
        <f t="shared" si="44"/>
        <v>3.3359602463605822</v>
      </c>
      <c r="R141">
        <f t="shared" si="33"/>
        <v>1200.9456886898097</v>
      </c>
      <c r="S141">
        <f t="shared" si="34"/>
        <v>1189</v>
      </c>
      <c r="T141">
        <f t="shared" si="35"/>
        <v>11.945688689809685</v>
      </c>
      <c r="U141">
        <f t="shared" si="32"/>
        <v>24</v>
      </c>
    </row>
    <row r="142" spans="1:21" x14ac:dyDescent="0.35">
      <c r="A142">
        <v>373</v>
      </c>
      <c r="B142">
        <v>96</v>
      </c>
      <c r="C142" s="4">
        <v>373</v>
      </c>
      <c r="D142" s="4">
        <f t="shared" si="36"/>
        <v>35808</v>
      </c>
      <c r="E142" s="4">
        <f t="shared" si="37"/>
        <v>9216</v>
      </c>
      <c r="F142" s="4">
        <f t="shared" si="38"/>
        <v>1197217</v>
      </c>
      <c r="G142" s="4">
        <f t="shared" si="45"/>
        <v>4656</v>
      </c>
      <c r="H142" s="4">
        <f t="shared" si="46"/>
        <v>19604</v>
      </c>
      <c r="I142" s="4">
        <f t="shared" si="47"/>
        <v>299536</v>
      </c>
      <c r="J142" s="4">
        <f t="shared" si="48"/>
        <v>21678336</v>
      </c>
      <c r="K142" s="4">
        <f t="shared" si="49"/>
        <v>114932832</v>
      </c>
      <c r="L142" s="4">
        <f t="shared" si="39"/>
        <v>91276224</v>
      </c>
      <c r="M142" s="4">
        <f t="shared" si="40"/>
        <v>23656608</v>
      </c>
      <c r="N142" s="4">
        <f t="shared" si="41"/>
        <v>28755456</v>
      </c>
      <c r="O142" s="4">
        <f t="shared" si="42"/>
        <v>21678336</v>
      </c>
      <c r="P142" s="4">
        <f t="shared" si="43"/>
        <v>7077120</v>
      </c>
      <c r="Q142">
        <f t="shared" si="44"/>
        <v>3.3426885512750948</v>
      </c>
      <c r="R142">
        <f t="shared" si="33"/>
        <v>1203.367878459034</v>
      </c>
      <c r="S142">
        <f t="shared" si="34"/>
        <v>1190</v>
      </c>
      <c r="T142">
        <f t="shared" si="35"/>
        <v>13.367878459034046</v>
      </c>
      <c r="U142">
        <f t="shared" si="32"/>
        <v>23</v>
      </c>
    </row>
    <row r="143" spans="1:21" x14ac:dyDescent="0.35">
      <c r="A143">
        <v>376</v>
      </c>
      <c r="B143">
        <v>97</v>
      </c>
      <c r="C143" s="4">
        <v>376</v>
      </c>
      <c r="D143" s="4">
        <f t="shared" si="36"/>
        <v>36472</v>
      </c>
      <c r="E143" s="4">
        <f t="shared" si="37"/>
        <v>9409</v>
      </c>
      <c r="F143" s="4">
        <f t="shared" si="38"/>
        <v>1233689</v>
      </c>
      <c r="G143" s="4">
        <f t="shared" si="45"/>
        <v>4753</v>
      </c>
      <c r="H143" s="4">
        <f t="shared" si="46"/>
        <v>19980</v>
      </c>
      <c r="I143" s="4">
        <f t="shared" si="47"/>
        <v>308945</v>
      </c>
      <c r="J143" s="4">
        <f t="shared" si="48"/>
        <v>22591009</v>
      </c>
      <c r="K143" s="4">
        <f t="shared" si="49"/>
        <v>119667833</v>
      </c>
      <c r="L143" s="4">
        <f t="shared" si="39"/>
        <v>94964940</v>
      </c>
      <c r="M143" s="4">
        <f t="shared" si="40"/>
        <v>24702893</v>
      </c>
      <c r="N143" s="4">
        <f t="shared" si="41"/>
        <v>29967665</v>
      </c>
      <c r="O143" s="4">
        <f t="shared" si="42"/>
        <v>22591009</v>
      </c>
      <c r="P143" s="4">
        <f t="shared" si="43"/>
        <v>7376656</v>
      </c>
      <c r="Q143">
        <f t="shared" si="44"/>
        <v>3.3487928676625289</v>
      </c>
      <c r="R143">
        <f t="shared" si="33"/>
        <v>1205.5654323585104</v>
      </c>
      <c r="S143">
        <f t="shared" si="34"/>
        <v>1192</v>
      </c>
      <c r="T143">
        <f t="shared" si="35"/>
        <v>13.565432358510407</v>
      </c>
      <c r="U143">
        <f t="shared" si="32"/>
        <v>22</v>
      </c>
    </row>
    <row r="144" spans="1:21" x14ac:dyDescent="0.35">
      <c r="A144">
        <v>379</v>
      </c>
      <c r="B144">
        <v>98</v>
      </c>
      <c r="C144" s="4">
        <v>379</v>
      </c>
      <c r="D144" s="4">
        <f t="shared" si="36"/>
        <v>37142</v>
      </c>
      <c r="E144" s="4">
        <f t="shared" si="37"/>
        <v>9604</v>
      </c>
      <c r="F144" s="4">
        <f t="shared" si="38"/>
        <v>1270831</v>
      </c>
      <c r="G144" s="4">
        <f t="shared" si="45"/>
        <v>4851</v>
      </c>
      <c r="H144" s="4">
        <f t="shared" si="46"/>
        <v>20359</v>
      </c>
      <c r="I144" s="4">
        <f t="shared" si="47"/>
        <v>318549</v>
      </c>
      <c r="J144" s="4">
        <f t="shared" si="48"/>
        <v>23532201</v>
      </c>
      <c r="K144" s="4">
        <f t="shared" si="49"/>
        <v>124541438</v>
      </c>
      <c r="L144" s="4">
        <f t="shared" si="39"/>
        <v>98761509</v>
      </c>
      <c r="M144" s="4">
        <f t="shared" si="40"/>
        <v>25779929</v>
      </c>
      <c r="N144" s="4">
        <f t="shared" si="41"/>
        <v>31217802</v>
      </c>
      <c r="O144" s="4">
        <f t="shared" si="42"/>
        <v>23532201</v>
      </c>
      <c r="P144" s="4">
        <f t="shared" si="43"/>
        <v>7685601</v>
      </c>
      <c r="Q144">
        <f t="shared" si="44"/>
        <v>3.3543152968778891</v>
      </c>
      <c r="R144">
        <f t="shared" si="33"/>
        <v>1207.55350687604</v>
      </c>
      <c r="S144">
        <f t="shared" si="34"/>
        <v>1193</v>
      </c>
      <c r="T144">
        <f t="shared" si="35"/>
        <v>14.553506876040046</v>
      </c>
      <c r="U144">
        <f t="shared" si="32"/>
        <v>22</v>
      </c>
    </row>
    <row r="145" spans="1:21" x14ac:dyDescent="0.35">
      <c r="A145">
        <v>380</v>
      </c>
      <c r="B145">
        <v>99</v>
      </c>
      <c r="C145" s="4">
        <v>380</v>
      </c>
      <c r="D145" s="4">
        <f t="shared" si="36"/>
        <v>37620</v>
      </c>
      <c r="E145" s="4">
        <f t="shared" si="37"/>
        <v>9801</v>
      </c>
      <c r="F145" s="4">
        <f t="shared" si="38"/>
        <v>1308451</v>
      </c>
      <c r="G145" s="4">
        <f t="shared" si="45"/>
        <v>4950</v>
      </c>
      <c r="H145" s="4">
        <f t="shared" si="46"/>
        <v>20739</v>
      </c>
      <c r="I145" s="4">
        <f t="shared" si="47"/>
        <v>328350</v>
      </c>
      <c r="J145" s="4">
        <f t="shared" si="48"/>
        <v>24502500</v>
      </c>
      <c r="K145" s="4">
        <f t="shared" si="49"/>
        <v>129536649</v>
      </c>
      <c r="L145" s="4">
        <f t="shared" si="39"/>
        <v>102658050</v>
      </c>
      <c r="M145" s="4">
        <f t="shared" si="40"/>
        <v>26878599</v>
      </c>
      <c r="N145" s="4">
        <f t="shared" si="41"/>
        <v>32506650</v>
      </c>
      <c r="O145" s="4">
        <f t="shared" si="42"/>
        <v>24502500</v>
      </c>
      <c r="P145" s="4">
        <f t="shared" si="43"/>
        <v>8004150</v>
      </c>
      <c r="Q145">
        <f t="shared" si="44"/>
        <v>3.3580828695114411</v>
      </c>
      <c r="R145">
        <f t="shared" si="33"/>
        <v>1208.9098330241188</v>
      </c>
      <c r="S145">
        <f t="shared" si="34"/>
        <v>1194</v>
      </c>
      <c r="T145">
        <f t="shared" si="35"/>
        <v>14.909833024118825</v>
      </c>
      <c r="U145">
        <f t="shared" si="32"/>
        <v>21</v>
      </c>
    </row>
    <row r="146" spans="1:21" x14ac:dyDescent="0.35">
      <c r="A146">
        <v>381</v>
      </c>
      <c r="B146">
        <v>100</v>
      </c>
      <c r="C146" s="4">
        <v>381</v>
      </c>
      <c r="D146" s="4">
        <f t="shared" si="36"/>
        <v>38100</v>
      </c>
      <c r="E146" s="4">
        <f t="shared" si="37"/>
        <v>10000</v>
      </c>
      <c r="F146" s="4">
        <f t="shared" si="38"/>
        <v>1346551</v>
      </c>
      <c r="G146" s="4">
        <f t="shared" si="45"/>
        <v>5050</v>
      </c>
      <c r="H146" s="4">
        <f t="shared" si="46"/>
        <v>21120</v>
      </c>
      <c r="I146" s="4">
        <f t="shared" si="47"/>
        <v>338350</v>
      </c>
      <c r="J146" s="4">
        <f t="shared" si="48"/>
        <v>25502500</v>
      </c>
      <c r="K146" s="4">
        <f t="shared" si="49"/>
        <v>134655100</v>
      </c>
      <c r="L146" s="4">
        <f t="shared" si="39"/>
        <v>106656000</v>
      </c>
      <c r="M146" s="4">
        <f t="shared" si="40"/>
        <v>27999100</v>
      </c>
      <c r="N146" s="4">
        <f t="shared" si="41"/>
        <v>33835000</v>
      </c>
      <c r="O146" s="4">
        <f t="shared" si="42"/>
        <v>25502500</v>
      </c>
      <c r="P146" s="4">
        <f t="shared" si="43"/>
        <v>8332500</v>
      </c>
      <c r="Q146">
        <f t="shared" si="44"/>
        <v>3.3602280228022803</v>
      </c>
      <c r="R146">
        <f t="shared" si="33"/>
        <v>1209.6820882088209</v>
      </c>
      <c r="S146">
        <f t="shared" si="34"/>
        <v>1196</v>
      </c>
      <c r="T146">
        <f t="shared" si="35"/>
        <v>13.682088208820915</v>
      </c>
      <c r="U146">
        <f t="shared" si="32"/>
        <v>20</v>
      </c>
    </row>
    <row r="147" spans="1:21" x14ac:dyDescent="0.35">
      <c r="A147">
        <v>390</v>
      </c>
      <c r="B147">
        <v>101</v>
      </c>
      <c r="C147" s="4">
        <v>390</v>
      </c>
      <c r="D147" s="4">
        <f t="shared" si="36"/>
        <v>39390</v>
      </c>
      <c r="E147" s="4">
        <f t="shared" si="37"/>
        <v>10201</v>
      </c>
      <c r="F147" s="4">
        <f t="shared" si="38"/>
        <v>1385941</v>
      </c>
      <c r="G147" s="4">
        <f t="shared" si="45"/>
        <v>5151</v>
      </c>
      <c r="H147" s="4">
        <f t="shared" si="46"/>
        <v>21510</v>
      </c>
      <c r="I147" s="4">
        <f t="shared" si="47"/>
        <v>348551</v>
      </c>
      <c r="J147" s="4">
        <f t="shared" si="48"/>
        <v>26532801</v>
      </c>
      <c r="K147" s="4">
        <f t="shared" si="49"/>
        <v>139980041</v>
      </c>
      <c r="L147" s="4">
        <f t="shared" si="39"/>
        <v>110798010</v>
      </c>
      <c r="M147" s="4">
        <f t="shared" si="40"/>
        <v>29182031</v>
      </c>
      <c r="N147" s="4">
        <f t="shared" si="41"/>
        <v>35203651</v>
      </c>
      <c r="O147" s="4">
        <f t="shared" si="42"/>
        <v>26532801</v>
      </c>
      <c r="P147" s="4">
        <f t="shared" si="43"/>
        <v>8670850</v>
      </c>
      <c r="Q147">
        <f t="shared" si="44"/>
        <v>3.3655329062317998</v>
      </c>
      <c r="R147">
        <f t="shared" si="33"/>
        <v>1211.5918462434479</v>
      </c>
      <c r="S147">
        <f t="shared" si="34"/>
        <v>1198</v>
      </c>
      <c r="T147">
        <f t="shared" si="35"/>
        <v>13.59184624344789</v>
      </c>
      <c r="U147">
        <f t="shared" si="32"/>
        <v>20</v>
      </c>
    </row>
    <row r="148" spans="1:21" x14ac:dyDescent="0.35">
      <c r="A148">
        <v>392</v>
      </c>
      <c r="B148">
        <v>102</v>
      </c>
      <c r="C148" s="4">
        <v>392</v>
      </c>
      <c r="D148" s="4">
        <f t="shared" si="36"/>
        <v>39984</v>
      </c>
      <c r="E148" s="4">
        <f t="shared" si="37"/>
        <v>10404</v>
      </c>
      <c r="F148" s="4">
        <f t="shared" si="38"/>
        <v>1425925</v>
      </c>
      <c r="G148" s="4">
        <f t="shared" si="45"/>
        <v>5253</v>
      </c>
      <c r="H148" s="4">
        <f t="shared" si="46"/>
        <v>21902</v>
      </c>
      <c r="I148" s="4">
        <f t="shared" si="47"/>
        <v>358955</v>
      </c>
      <c r="J148" s="4">
        <f t="shared" si="48"/>
        <v>27594009</v>
      </c>
      <c r="K148" s="4">
        <f t="shared" si="49"/>
        <v>145444350</v>
      </c>
      <c r="L148" s="4">
        <f t="shared" si="39"/>
        <v>115051206</v>
      </c>
      <c r="M148" s="4">
        <f t="shared" si="40"/>
        <v>30393144</v>
      </c>
      <c r="N148" s="4">
        <f t="shared" si="41"/>
        <v>36613410</v>
      </c>
      <c r="O148" s="4">
        <f t="shared" si="42"/>
        <v>27594009</v>
      </c>
      <c r="P148" s="4">
        <f t="shared" si="43"/>
        <v>9019401</v>
      </c>
      <c r="Q148">
        <f t="shared" si="44"/>
        <v>3.3697519380721626</v>
      </c>
      <c r="R148">
        <f t="shared" si="33"/>
        <v>1213.1106977059785</v>
      </c>
      <c r="S148">
        <f t="shared" si="34"/>
        <v>1199</v>
      </c>
      <c r="T148">
        <f t="shared" si="35"/>
        <v>14.110697705978509</v>
      </c>
      <c r="U148">
        <f t="shared" si="32"/>
        <v>19</v>
      </c>
    </row>
    <row r="149" spans="1:21" x14ac:dyDescent="0.35">
      <c r="A149">
        <v>397</v>
      </c>
      <c r="B149">
        <v>103</v>
      </c>
      <c r="C149" s="4">
        <v>397</v>
      </c>
      <c r="D149" s="4">
        <f t="shared" si="36"/>
        <v>40891</v>
      </c>
      <c r="E149" s="4">
        <f t="shared" si="37"/>
        <v>10609</v>
      </c>
      <c r="F149" s="4">
        <f t="shared" si="38"/>
        <v>1466816</v>
      </c>
      <c r="G149" s="4">
        <f t="shared" si="45"/>
        <v>5356</v>
      </c>
      <c r="H149" s="4">
        <f t="shared" si="46"/>
        <v>22299</v>
      </c>
      <c r="I149" s="4">
        <f t="shared" si="47"/>
        <v>369564</v>
      </c>
      <c r="J149" s="4">
        <f t="shared" si="48"/>
        <v>28686736</v>
      </c>
      <c r="K149" s="4">
        <f t="shared" si="49"/>
        <v>151082048</v>
      </c>
      <c r="L149" s="4">
        <f t="shared" si="39"/>
        <v>119433444</v>
      </c>
      <c r="M149" s="4">
        <f t="shared" si="40"/>
        <v>31648604</v>
      </c>
      <c r="N149" s="4">
        <f t="shared" si="41"/>
        <v>38065092</v>
      </c>
      <c r="O149" s="4">
        <f t="shared" si="42"/>
        <v>28686736</v>
      </c>
      <c r="P149" s="4">
        <f t="shared" si="43"/>
        <v>9378356</v>
      </c>
      <c r="Q149">
        <f t="shared" si="44"/>
        <v>3.3746430611079381</v>
      </c>
      <c r="R149">
        <f t="shared" si="33"/>
        <v>1214.8715019988576</v>
      </c>
      <c r="S149">
        <f t="shared" si="34"/>
        <v>1201</v>
      </c>
      <c r="T149">
        <f t="shared" si="35"/>
        <v>13.871501998857639</v>
      </c>
      <c r="U149">
        <f t="shared" si="32"/>
        <v>19</v>
      </c>
    </row>
    <row r="150" spans="1:21" x14ac:dyDescent="0.35">
      <c r="A150">
        <v>399</v>
      </c>
      <c r="B150">
        <v>104</v>
      </c>
      <c r="C150" s="4">
        <v>399</v>
      </c>
      <c r="D150" s="4">
        <f t="shared" si="36"/>
        <v>41496</v>
      </c>
      <c r="E150" s="4">
        <f t="shared" si="37"/>
        <v>10816</v>
      </c>
      <c r="F150" s="4">
        <f t="shared" si="38"/>
        <v>1508312</v>
      </c>
      <c r="G150" s="4">
        <f t="shared" si="45"/>
        <v>5460</v>
      </c>
      <c r="H150" s="4">
        <f t="shared" si="46"/>
        <v>22698</v>
      </c>
      <c r="I150" s="4">
        <f t="shared" si="47"/>
        <v>380380</v>
      </c>
      <c r="J150" s="4">
        <f t="shared" si="48"/>
        <v>29811600</v>
      </c>
      <c r="K150" s="4">
        <f t="shared" si="49"/>
        <v>156864448</v>
      </c>
      <c r="L150" s="4">
        <f t="shared" si="39"/>
        <v>123931080</v>
      </c>
      <c r="M150" s="4">
        <f t="shared" si="40"/>
        <v>32933368</v>
      </c>
      <c r="N150" s="4">
        <f t="shared" si="41"/>
        <v>39559520</v>
      </c>
      <c r="O150" s="4">
        <f t="shared" si="42"/>
        <v>29811600</v>
      </c>
      <c r="P150" s="4">
        <f t="shared" si="43"/>
        <v>9747920</v>
      </c>
      <c r="Q150">
        <f t="shared" si="44"/>
        <v>3.3785020804438282</v>
      </c>
      <c r="R150">
        <f t="shared" si="33"/>
        <v>1216.2607489597781</v>
      </c>
      <c r="S150">
        <f t="shared" si="34"/>
        <v>1202</v>
      </c>
      <c r="T150">
        <f t="shared" si="35"/>
        <v>14.260748959778084</v>
      </c>
      <c r="U150">
        <f t="shared" si="32"/>
        <v>19</v>
      </c>
    </row>
    <row r="151" spans="1:21" x14ac:dyDescent="0.35">
      <c r="A151">
        <v>392</v>
      </c>
      <c r="B151">
        <v>105</v>
      </c>
      <c r="C151" s="4">
        <v>392</v>
      </c>
      <c r="D151" s="4">
        <f t="shared" si="36"/>
        <v>41160</v>
      </c>
      <c r="E151" s="4">
        <f t="shared" si="37"/>
        <v>11025</v>
      </c>
      <c r="F151" s="4">
        <f t="shared" si="38"/>
        <v>1549472</v>
      </c>
      <c r="G151" s="4">
        <f t="shared" si="45"/>
        <v>5565</v>
      </c>
      <c r="H151" s="4">
        <f t="shared" si="46"/>
        <v>23090</v>
      </c>
      <c r="I151" s="4">
        <f t="shared" si="47"/>
        <v>391405</v>
      </c>
      <c r="J151" s="4">
        <f t="shared" si="48"/>
        <v>30969225</v>
      </c>
      <c r="K151" s="4">
        <f t="shared" si="49"/>
        <v>162694560</v>
      </c>
      <c r="L151" s="4">
        <f t="shared" si="39"/>
        <v>128495850</v>
      </c>
      <c r="M151" s="4">
        <f t="shared" si="40"/>
        <v>34198710</v>
      </c>
      <c r="N151" s="4">
        <f t="shared" si="41"/>
        <v>41097525</v>
      </c>
      <c r="O151" s="4">
        <f t="shared" si="42"/>
        <v>30969225</v>
      </c>
      <c r="P151" s="4">
        <f t="shared" si="43"/>
        <v>10128300</v>
      </c>
      <c r="Q151">
        <f t="shared" si="44"/>
        <v>3.3765498652291104</v>
      </c>
      <c r="R151">
        <f t="shared" si="33"/>
        <v>1215.5579514824797</v>
      </c>
      <c r="S151">
        <f t="shared" si="34"/>
        <v>1203</v>
      </c>
      <c r="T151">
        <f t="shared" si="35"/>
        <v>12.557951482479666</v>
      </c>
      <c r="U151">
        <f t="shared" si="32"/>
        <v>18</v>
      </c>
    </row>
    <row r="152" spans="1:21" x14ac:dyDescent="0.35">
      <c r="A152">
        <v>368</v>
      </c>
      <c r="B152">
        <v>106</v>
      </c>
      <c r="C152" s="4">
        <v>368</v>
      </c>
      <c r="D152" s="4">
        <f t="shared" si="36"/>
        <v>39008</v>
      </c>
      <c r="E152" s="4">
        <f t="shared" si="37"/>
        <v>11236</v>
      </c>
      <c r="F152" s="4">
        <f t="shared" si="38"/>
        <v>1588480</v>
      </c>
      <c r="G152" s="4">
        <f t="shared" si="45"/>
        <v>5671</v>
      </c>
      <c r="H152" s="4">
        <f t="shared" si="46"/>
        <v>23458</v>
      </c>
      <c r="I152" s="4">
        <f t="shared" si="47"/>
        <v>402641</v>
      </c>
      <c r="J152" s="4">
        <f t="shared" si="48"/>
        <v>32160241</v>
      </c>
      <c r="K152" s="4">
        <f t="shared" si="49"/>
        <v>168378880</v>
      </c>
      <c r="L152" s="4">
        <f t="shared" si="39"/>
        <v>133030318</v>
      </c>
      <c r="M152" s="4">
        <f t="shared" si="40"/>
        <v>35348562</v>
      </c>
      <c r="N152" s="4">
        <f t="shared" si="41"/>
        <v>42679946</v>
      </c>
      <c r="O152" s="4">
        <f t="shared" si="42"/>
        <v>32160241</v>
      </c>
      <c r="P152" s="4">
        <f t="shared" si="43"/>
        <v>10519705</v>
      </c>
      <c r="Q152">
        <f t="shared" si="44"/>
        <v>3.3602236944857293</v>
      </c>
      <c r="R152">
        <f t="shared" si="33"/>
        <v>1209.6805300148626</v>
      </c>
      <c r="S152">
        <f t="shared" si="34"/>
        <v>1203</v>
      </c>
      <c r="T152">
        <f t="shared" si="35"/>
        <v>6.6805300148625975</v>
      </c>
      <c r="U152">
        <f t="shared" si="32"/>
        <v>17</v>
      </c>
    </row>
    <row r="153" spans="1:21" x14ac:dyDescent="0.35">
      <c r="A153">
        <v>398</v>
      </c>
      <c r="B153">
        <v>107</v>
      </c>
      <c r="C153" s="4">
        <v>398</v>
      </c>
      <c r="D153" s="4">
        <f t="shared" si="36"/>
        <v>42586</v>
      </c>
      <c r="E153" s="4">
        <f t="shared" si="37"/>
        <v>11449</v>
      </c>
      <c r="F153" s="4">
        <f t="shared" si="38"/>
        <v>1631066</v>
      </c>
      <c r="G153" s="4">
        <f t="shared" si="45"/>
        <v>5778</v>
      </c>
      <c r="H153" s="4">
        <f t="shared" si="46"/>
        <v>23856</v>
      </c>
      <c r="I153" s="4">
        <f t="shared" si="47"/>
        <v>414090</v>
      </c>
      <c r="J153" s="4">
        <f t="shared" si="48"/>
        <v>33385284</v>
      </c>
      <c r="K153" s="4">
        <f t="shared" si="49"/>
        <v>174524062</v>
      </c>
      <c r="L153" s="4">
        <f t="shared" si="39"/>
        <v>137839968</v>
      </c>
      <c r="M153" s="4">
        <f t="shared" si="40"/>
        <v>36684094</v>
      </c>
      <c r="N153" s="4">
        <f t="shared" si="41"/>
        <v>44307630</v>
      </c>
      <c r="O153" s="4">
        <f t="shared" si="42"/>
        <v>33385284</v>
      </c>
      <c r="P153" s="4">
        <f t="shared" si="43"/>
        <v>10922346</v>
      </c>
      <c r="Q153">
        <f t="shared" si="44"/>
        <v>3.3586277160602678</v>
      </c>
      <c r="R153">
        <f t="shared" si="33"/>
        <v>1209.1059777816963</v>
      </c>
      <c r="S153">
        <f t="shared" si="34"/>
        <v>1204</v>
      </c>
      <c r="T153">
        <f t="shared" si="35"/>
        <v>5.1059777816963106</v>
      </c>
      <c r="U153">
        <f t="shared" si="32"/>
        <v>16</v>
      </c>
    </row>
    <row r="154" spans="1:21" x14ac:dyDescent="0.35">
      <c r="A154">
        <v>409</v>
      </c>
      <c r="B154">
        <v>108</v>
      </c>
      <c r="C154" s="4">
        <v>409</v>
      </c>
      <c r="D154" s="4">
        <f t="shared" si="36"/>
        <v>44172</v>
      </c>
      <c r="E154" s="4">
        <f t="shared" si="37"/>
        <v>11664</v>
      </c>
      <c r="F154" s="4">
        <f t="shared" si="38"/>
        <v>1675238</v>
      </c>
      <c r="G154" s="4">
        <f t="shared" si="45"/>
        <v>5886</v>
      </c>
      <c r="H154" s="4">
        <f t="shared" si="46"/>
        <v>24265</v>
      </c>
      <c r="I154" s="4">
        <f t="shared" si="47"/>
        <v>425754</v>
      </c>
      <c r="J154" s="4">
        <f t="shared" si="48"/>
        <v>34644996</v>
      </c>
      <c r="K154" s="4">
        <f t="shared" si="49"/>
        <v>180925704</v>
      </c>
      <c r="L154" s="4">
        <f t="shared" si="39"/>
        <v>142823790</v>
      </c>
      <c r="M154" s="4">
        <f t="shared" si="40"/>
        <v>38101914</v>
      </c>
      <c r="N154" s="4">
        <f t="shared" si="41"/>
        <v>45981432</v>
      </c>
      <c r="O154" s="4">
        <f t="shared" si="42"/>
        <v>34644996</v>
      </c>
      <c r="P154" s="4">
        <f t="shared" si="43"/>
        <v>11336436</v>
      </c>
      <c r="Q154">
        <f t="shared" si="44"/>
        <v>3.3610134613735747</v>
      </c>
      <c r="R154">
        <f t="shared" si="33"/>
        <v>1209.9648460944868</v>
      </c>
      <c r="S154">
        <f t="shared" si="34"/>
        <v>1204</v>
      </c>
      <c r="T154">
        <f t="shared" si="35"/>
        <v>5.964846094486802</v>
      </c>
      <c r="U154">
        <f t="shared" si="32"/>
        <v>15</v>
      </c>
    </row>
    <row r="155" spans="1:21" x14ac:dyDescent="0.35">
      <c r="A155">
        <v>412</v>
      </c>
      <c r="B155">
        <v>109</v>
      </c>
      <c r="C155" s="4">
        <v>412</v>
      </c>
      <c r="D155" s="4">
        <f t="shared" si="36"/>
        <v>44908</v>
      </c>
      <c r="E155" s="4">
        <f t="shared" si="37"/>
        <v>11881</v>
      </c>
      <c r="F155" s="4">
        <f t="shared" si="38"/>
        <v>1720146</v>
      </c>
      <c r="G155" s="4">
        <f t="shared" si="45"/>
        <v>5995</v>
      </c>
      <c r="H155" s="4">
        <f t="shared" si="46"/>
        <v>24677</v>
      </c>
      <c r="I155" s="4">
        <f t="shared" si="47"/>
        <v>437635</v>
      </c>
      <c r="J155" s="4">
        <f t="shared" si="48"/>
        <v>35940025</v>
      </c>
      <c r="K155" s="4">
        <f t="shared" si="49"/>
        <v>187495914</v>
      </c>
      <c r="L155" s="4">
        <f t="shared" si="39"/>
        <v>147938615</v>
      </c>
      <c r="M155" s="4">
        <f t="shared" si="40"/>
        <v>39557299</v>
      </c>
      <c r="N155" s="4">
        <f t="shared" si="41"/>
        <v>47702215</v>
      </c>
      <c r="O155" s="4">
        <f t="shared" si="42"/>
        <v>35940025</v>
      </c>
      <c r="P155" s="4">
        <f t="shared" si="43"/>
        <v>11762190</v>
      </c>
      <c r="Q155">
        <f t="shared" si="44"/>
        <v>3.3630896117134648</v>
      </c>
      <c r="R155">
        <f t="shared" si="33"/>
        <v>1210.7122602168474</v>
      </c>
      <c r="S155">
        <f t="shared" si="34"/>
        <v>1205</v>
      </c>
      <c r="T155">
        <f t="shared" si="35"/>
        <v>5.7122602168474259</v>
      </c>
      <c r="U155">
        <f t="shared" si="32"/>
        <v>14</v>
      </c>
    </row>
    <row r="156" spans="1:21" x14ac:dyDescent="0.35">
      <c r="A156">
        <v>392</v>
      </c>
      <c r="B156">
        <v>110</v>
      </c>
      <c r="C156" s="4">
        <v>392</v>
      </c>
      <c r="D156" s="4">
        <f t="shared" si="36"/>
        <v>43120</v>
      </c>
      <c r="E156" s="4">
        <f t="shared" si="37"/>
        <v>12100</v>
      </c>
      <c r="F156" s="4">
        <f t="shared" si="38"/>
        <v>1763266</v>
      </c>
      <c r="G156" s="4">
        <f t="shared" si="45"/>
        <v>6105</v>
      </c>
      <c r="H156" s="4">
        <f t="shared" si="46"/>
        <v>25069</v>
      </c>
      <c r="I156" s="4">
        <f t="shared" si="47"/>
        <v>449735</v>
      </c>
      <c r="J156" s="4">
        <f t="shared" si="48"/>
        <v>37271025</v>
      </c>
      <c r="K156" s="4">
        <f t="shared" si="49"/>
        <v>193959260</v>
      </c>
      <c r="L156" s="4">
        <f t="shared" si="39"/>
        <v>153046245</v>
      </c>
      <c r="M156" s="4">
        <f t="shared" si="40"/>
        <v>40913015</v>
      </c>
      <c r="N156" s="4">
        <f t="shared" si="41"/>
        <v>49470850</v>
      </c>
      <c r="O156" s="4">
        <f t="shared" si="42"/>
        <v>37271025</v>
      </c>
      <c r="P156" s="4">
        <f t="shared" si="43"/>
        <v>12199825</v>
      </c>
      <c r="Q156">
        <f t="shared" si="44"/>
        <v>3.3535739242161262</v>
      </c>
      <c r="R156">
        <f t="shared" si="33"/>
        <v>1207.2866127178054</v>
      </c>
      <c r="S156">
        <f t="shared" si="34"/>
        <v>1205</v>
      </c>
      <c r="T156">
        <f t="shared" si="35"/>
        <v>2.286612717805383</v>
      </c>
      <c r="U156">
        <f t="shared" si="32"/>
        <v>13</v>
      </c>
    </row>
    <row r="157" spans="1:21" x14ac:dyDescent="0.35">
      <c r="A157">
        <v>408</v>
      </c>
      <c r="B157">
        <v>111</v>
      </c>
      <c r="C157" s="4">
        <v>408</v>
      </c>
      <c r="D157" s="4">
        <f t="shared" si="36"/>
        <v>45288</v>
      </c>
      <c r="E157" s="4">
        <f t="shared" si="37"/>
        <v>12321</v>
      </c>
      <c r="F157" s="4">
        <f t="shared" si="38"/>
        <v>1808554</v>
      </c>
      <c r="G157" s="4">
        <f t="shared" si="45"/>
        <v>6216</v>
      </c>
      <c r="H157" s="4">
        <f t="shared" si="46"/>
        <v>25477</v>
      </c>
      <c r="I157" s="4">
        <f t="shared" si="47"/>
        <v>462056</v>
      </c>
      <c r="J157" s="4">
        <f t="shared" si="48"/>
        <v>38638656</v>
      </c>
      <c r="K157" s="4">
        <f t="shared" si="49"/>
        <v>200749494</v>
      </c>
      <c r="L157" s="4">
        <f t="shared" si="39"/>
        <v>158365032</v>
      </c>
      <c r="M157" s="4">
        <f t="shared" si="40"/>
        <v>42384462</v>
      </c>
      <c r="N157" s="4">
        <f t="shared" si="41"/>
        <v>51288216</v>
      </c>
      <c r="O157" s="4">
        <f t="shared" si="42"/>
        <v>38638656</v>
      </c>
      <c r="P157" s="4">
        <f t="shared" si="43"/>
        <v>12649560</v>
      </c>
      <c r="Q157">
        <f t="shared" si="44"/>
        <v>3.3506669006669005</v>
      </c>
      <c r="R157">
        <f t="shared" si="33"/>
        <v>1206.2400842400841</v>
      </c>
      <c r="S157">
        <f t="shared" si="34"/>
        <v>1205</v>
      </c>
      <c r="T157">
        <f t="shared" si="35"/>
        <v>1.2400842400841157</v>
      </c>
      <c r="U157">
        <f t="shared" ref="U157:U160" si="50">INT(AVERAGE(T132:T156))</f>
        <v>12</v>
      </c>
    </row>
    <row r="158" spans="1:21" x14ac:dyDescent="0.35">
      <c r="A158">
        <v>425</v>
      </c>
      <c r="B158">
        <v>112</v>
      </c>
      <c r="C158" s="4">
        <v>425</v>
      </c>
      <c r="D158" s="4">
        <f t="shared" si="36"/>
        <v>47600</v>
      </c>
      <c r="E158" s="4">
        <f t="shared" si="37"/>
        <v>12544</v>
      </c>
      <c r="F158" s="4">
        <f t="shared" si="38"/>
        <v>1856154</v>
      </c>
      <c r="G158" s="4">
        <f t="shared" si="45"/>
        <v>6328</v>
      </c>
      <c r="H158" s="4">
        <f t="shared" si="46"/>
        <v>25902</v>
      </c>
      <c r="I158" s="4">
        <f t="shared" si="47"/>
        <v>474600</v>
      </c>
      <c r="J158" s="4">
        <f t="shared" si="48"/>
        <v>40043584</v>
      </c>
      <c r="K158" s="4">
        <f t="shared" si="49"/>
        <v>207889248</v>
      </c>
      <c r="L158" s="4">
        <f t="shared" si="39"/>
        <v>163907856</v>
      </c>
      <c r="M158" s="4">
        <f t="shared" si="40"/>
        <v>43981392</v>
      </c>
      <c r="N158" s="4">
        <f t="shared" si="41"/>
        <v>53155200</v>
      </c>
      <c r="O158" s="4">
        <f t="shared" si="42"/>
        <v>40043584</v>
      </c>
      <c r="P158" s="4">
        <f t="shared" si="43"/>
        <v>13111616</v>
      </c>
      <c r="Q158">
        <f t="shared" si="44"/>
        <v>3.3543837769501486</v>
      </c>
      <c r="R158">
        <f t="shared" si="33"/>
        <v>1207.5781597020534</v>
      </c>
      <c r="S158">
        <f t="shared" si="34"/>
        <v>1205</v>
      </c>
      <c r="T158">
        <f t="shared" si="35"/>
        <v>2.5781597020534264</v>
      </c>
      <c r="U158">
        <f t="shared" si="50"/>
        <v>11</v>
      </c>
    </row>
    <row r="159" spans="1:21" x14ac:dyDescent="0.35">
      <c r="A159">
        <v>429</v>
      </c>
      <c r="B159">
        <v>113</v>
      </c>
      <c r="C159" s="4">
        <v>429</v>
      </c>
      <c r="D159" s="4">
        <f t="shared" si="36"/>
        <v>48477</v>
      </c>
      <c r="E159" s="4">
        <f t="shared" si="37"/>
        <v>12769</v>
      </c>
      <c r="F159" s="4">
        <f t="shared" si="38"/>
        <v>1904631</v>
      </c>
      <c r="G159" s="4">
        <f t="shared" si="45"/>
        <v>6441</v>
      </c>
      <c r="H159" s="4">
        <f t="shared" si="46"/>
        <v>26331</v>
      </c>
      <c r="I159" s="4">
        <f t="shared" si="47"/>
        <v>487369</v>
      </c>
      <c r="J159" s="4">
        <f t="shared" si="48"/>
        <v>41486481</v>
      </c>
      <c r="K159" s="4">
        <f t="shared" si="49"/>
        <v>215223303</v>
      </c>
      <c r="L159" s="4">
        <f t="shared" si="39"/>
        <v>169597971</v>
      </c>
      <c r="M159" s="4">
        <f t="shared" si="40"/>
        <v>45625332</v>
      </c>
      <c r="N159" s="4">
        <f t="shared" si="41"/>
        <v>55072697</v>
      </c>
      <c r="O159" s="4">
        <f t="shared" si="42"/>
        <v>41486481</v>
      </c>
      <c r="P159" s="4">
        <f t="shared" si="43"/>
        <v>13586216</v>
      </c>
      <c r="Q159">
        <f t="shared" si="44"/>
        <v>3.3582074655665712</v>
      </c>
      <c r="R159">
        <f t="shared" si="33"/>
        <v>1208.9546876039656</v>
      </c>
      <c r="S159">
        <f t="shared" si="34"/>
        <v>1206</v>
      </c>
      <c r="T159">
        <f t="shared" si="35"/>
        <v>2.9546876039655672</v>
      </c>
      <c r="U159">
        <f t="shared" si="50"/>
        <v>10</v>
      </c>
    </row>
    <row r="160" spans="1:21" x14ac:dyDescent="0.35">
      <c r="A160">
        <v>431</v>
      </c>
      <c r="B160">
        <v>114</v>
      </c>
      <c r="C160" s="4">
        <v>431</v>
      </c>
      <c r="D160" s="4">
        <f t="shared" si="36"/>
        <v>49134</v>
      </c>
      <c r="E160" s="4">
        <f t="shared" si="37"/>
        <v>12996</v>
      </c>
      <c r="F160" s="4">
        <f t="shared" si="38"/>
        <v>1953765</v>
      </c>
      <c r="G160" s="4">
        <f t="shared" si="45"/>
        <v>6555</v>
      </c>
      <c r="H160" s="4">
        <f t="shared" si="46"/>
        <v>26762</v>
      </c>
      <c r="I160" s="4">
        <f t="shared" si="47"/>
        <v>500365</v>
      </c>
      <c r="J160" s="4">
        <f t="shared" si="48"/>
        <v>42968025</v>
      </c>
      <c r="K160" s="4">
        <f t="shared" si="49"/>
        <v>222729210</v>
      </c>
      <c r="L160" s="4">
        <f t="shared" si="39"/>
        <v>175424910</v>
      </c>
      <c r="M160" s="4">
        <f t="shared" si="40"/>
        <v>47304300</v>
      </c>
      <c r="N160" s="4">
        <f t="shared" si="41"/>
        <v>57041610</v>
      </c>
      <c r="O160" s="4">
        <f t="shared" si="42"/>
        <v>42968025</v>
      </c>
      <c r="P160" s="4">
        <f t="shared" si="43"/>
        <v>14073585</v>
      </c>
      <c r="Q160">
        <f>M160/P160</f>
        <v>3.3612118021101232</v>
      </c>
      <c r="R160">
        <f t="shared" si="33"/>
        <v>1210.0362487596444</v>
      </c>
      <c r="S160">
        <f t="shared" si="34"/>
        <v>1206</v>
      </c>
      <c r="T160">
        <f t="shared" si="35"/>
        <v>4.0362487596444225</v>
      </c>
      <c r="U160">
        <f t="shared" si="50"/>
        <v>10</v>
      </c>
    </row>
    <row r="161" spans="4:16" x14ac:dyDescent="0.35"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spans="4:16" x14ac:dyDescent="0.35"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4:16" x14ac:dyDescent="0.35"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spans="4:16" x14ac:dyDescent="0.35"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spans="4:16" x14ac:dyDescent="0.35"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4:16" x14ac:dyDescent="0.35"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pans="4:16" x14ac:dyDescent="0.35"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spans="4:16" x14ac:dyDescent="0.35"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spans="4:16" x14ac:dyDescent="0.35"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spans="4:16" x14ac:dyDescent="0.35"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4:16" x14ac:dyDescent="0.35"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spans="4:16" x14ac:dyDescent="0.35"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spans="4:16" x14ac:dyDescent="0.35"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spans="4:16" x14ac:dyDescent="0.35"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spans="4:16" x14ac:dyDescent="0.35"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4:16" x14ac:dyDescent="0.35"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spans="4:16" x14ac:dyDescent="0.35"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spans="4:16" x14ac:dyDescent="0.35"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spans="4:16" x14ac:dyDescent="0.35"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spans="4:16" x14ac:dyDescent="0.35"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spans="4:16" x14ac:dyDescent="0.35"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spans="4:16" x14ac:dyDescent="0.35"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spans="4:16" x14ac:dyDescent="0.35"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spans="4:16" x14ac:dyDescent="0.35"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spans="4:16" x14ac:dyDescent="0.35"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spans="4:16" x14ac:dyDescent="0.35"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spans="4:16" x14ac:dyDescent="0.35"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spans="4:16" x14ac:dyDescent="0.35"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spans="4:16" x14ac:dyDescent="0.35"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spans="4:16" x14ac:dyDescent="0.35"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spans="4:16" x14ac:dyDescent="0.35"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</sheetData>
  <pageMargins left="0.7" right="0.7" top="0.75" bottom="0.75" header="0.3" footer="0.3"/>
  <headerFooter>
    <oddHeader>&amp;L&amp;"Aptos"&amp;10&amp;KFF0000 Classification: Confidential&amp;1#_x000D_</oddHeader>
    <oddFooter>&amp;L_x000D_&amp;1#&amp;"Aptos"&amp;10&amp;KFF0000 Classification: Confidential</oddFooter>
  </headerFooter>
  <ignoredErrors>
    <ignoredError sqref="T49:T160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F255F-9733-4D52-A7A4-939B0F1BE4F1}">
  <dimension ref="A1:S145"/>
  <sheetViews>
    <sheetView workbookViewId="0"/>
  </sheetViews>
  <sheetFormatPr defaultRowHeight="14.5" x14ac:dyDescent="0.35"/>
  <sheetData>
    <row r="1" spans="1:19" x14ac:dyDescent="0.35">
      <c r="A1" t="s">
        <v>13</v>
      </c>
      <c r="B1">
        <v>1</v>
      </c>
      <c r="C1" t="s">
        <v>14</v>
      </c>
      <c r="D1" t="s">
        <v>15</v>
      </c>
      <c r="E1">
        <v>1</v>
      </c>
      <c r="F1" t="s">
        <v>16</v>
      </c>
      <c r="G1" t="s">
        <v>17</v>
      </c>
      <c r="H1">
        <v>1</v>
      </c>
      <c r="I1" t="s">
        <v>18</v>
      </c>
      <c r="J1">
        <v>1</v>
      </c>
      <c r="K1" t="s">
        <v>19</v>
      </c>
      <c r="L1">
        <v>0</v>
      </c>
      <c r="M1" t="s">
        <v>11</v>
      </c>
      <c r="N1">
        <v>0</v>
      </c>
      <c r="O1" t="s">
        <v>20</v>
      </c>
      <c r="P1" t="s">
        <v>21</v>
      </c>
      <c r="Q1">
        <v>0</v>
      </c>
      <c r="R1" t="s">
        <v>22</v>
      </c>
      <c r="S1">
        <v>0</v>
      </c>
    </row>
    <row r="2" spans="1:19" x14ac:dyDescent="0.35">
      <c r="A2" t="s">
        <v>13</v>
      </c>
      <c r="B2">
        <v>2</v>
      </c>
      <c r="C2" t="s">
        <v>14</v>
      </c>
      <c r="D2" t="s">
        <v>23</v>
      </c>
      <c r="E2">
        <v>3</v>
      </c>
      <c r="F2" t="s">
        <v>16</v>
      </c>
      <c r="G2" t="s">
        <v>24</v>
      </c>
      <c r="H2">
        <v>5</v>
      </c>
      <c r="I2" t="s">
        <v>18</v>
      </c>
      <c r="J2">
        <v>9</v>
      </c>
      <c r="K2" t="s">
        <v>19</v>
      </c>
      <c r="L2">
        <v>3</v>
      </c>
      <c r="M2" t="s">
        <v>11</v>
      </c>
      <c r="N2">
        <v>1</v>
      </c>
      <c r="O2" t="s">
        <v>20</v>
      </c>
      <c r="P2" t="s">
        <v>25</v>
      </c>
      <c r="Q2">
        <v>43</v>
      </c>
      <c r="R2" t="s">
        <v>22</v>
      </c>
      <c r="S2">
        <v>41.48</v>
      </c>
    </row>
    <row r="3" spans="1:19" x14ac:dyDescent="0.35">
      <c r="A3" t="s">
        <v>13</v>
      </c>
      <c r="B3">
        <v>3</v>
      </c>
      <c r="C3" t="s">
        <v>14</v>
      </c>
      <c r="D3" t="s">
        <v>26</v>
      </c>
      <c r="E3">
        <v>6</v>
      </c>
      <c r="F3" t="s">
        <v>16</v>
      </c>
      <c r="G3" t="s">
        <v>27</v>
      </c>
      <c r="H3">
        <v>14</v>
      </c>
      <c r="I3" t="s">
        <v>18</v>
      </c>
      <c r="J3">
        <v>36</v>
      </c>
      <c r="K3" t="s">
        <v>19</v>
      </c>
      <c r="L3">
        <v>18</v>
      </c>
      <c r="M3" t="s">
        <v>11</v>
      </c>
      <c r="N3">
        <v>6</v>
      </c>
      <c r="O3" t="s">
        <v>20</v>
      </c>
      <c r="P3" t="s">
        <v>25</v>
      </c>
      <c r="Q3">
        <v>86</v>
      </c>
      <c r="R3" t="s">
        <v>22</v>
      </c>
      <c r="S3">
        <v>81.239999999999995</v>
      </c>
    </row>
    <row r="4" spans="1:19" x14ac:dyDescent="0.35">
      <c r="A4" t="s">
        <v>13</v>
      </c>
      <c r="B4">
        <v>4</v>
      </c>
      <c r="C4" t="s">
        <v>14</v>
      </c>
      <c r="D4" t="s">
        <v>28</v>
      </c>
      <c r="E4">
        <v>10</v>
      </c>
      <c r="F4" t="s">
        <v>16</v>
      </c>
      <c r="G4" t="s">
        <v>29</v>
      </c>
      <c r="H4">
        <v>30</v>
      </c>
      <c r="I4" t="s">
        <v>18</v>
      </c>
      <c r="J4">
        <v>100</v>
      </c>
      <c r="K4" t="s">
        <v>19</v>
      </c>
      <c r="L4">
        <v>54</v>
      </c>
      <c r="M4" t="s">
        <v>11</v>
      </c>
      <c r="N4">
        <v>20</v>
      </c>
      <c r="O4" t="s">
        <v>20</v>
      </c>
      <c r="P4" t="s">
        <v>30</v>
      </c>
      <c r="Q4">
        <v>125</v>
      </c>
      <c r="R4" t="s">
        <v>22</v>
      </c>
      <c r="S4">
        <v>115.12</v>
      </c>
    </row>
    <row r="5" spans="1:19" x14ac:dyDescent="0.35">
      <c r="A5" t="s">
        <v>13</v>
      </c>
      <c r="B5">
        <v>5</v>
      </c>
      <c r="C5" t="s">
        <v>14</v>
      </c>
      <c r="D5" t="s">
        <v>31</v>
      </c>
      <c r="E5">
        <v>15</v>
      </c>
      <c r="F5" t="s">
        <v>16</v>
      </c>
      <c r="G5" t="s">
        <v>32</v>
      </c>
      <c r="H5">
        <v>55</v>
      </c>
      <c r="I5" t="s">
        <v>18</v>
      </c>
      <c r="J5">
        <v>225</v>
      </c>
      <c r="K5" t="s">
        <v>19</v>
      </c>
      <c r="L5">
        <v>145</v>
      </c>
      <c r="M5" t="s">
        <v>11</v>
      </c>
      <c r="N5">
        <v>50</v>
      </c>
      <c r="O5" t="s">
        <v>20</v>
      </c>
      <c r="P5" t="s">
        <v>33</v>
      </c>
      <c r="Q5">
        <v>167</v>
      </c>
      <c r="R5" t="s">
        <v>22</v>
      </c>
      <c r="S5">
        <v>150.19999999999999</v>
      </c>
    </row>
    <row r="6" spans="1:19" x14ac:dyDescent="0.35">
      <c r="A6" t="s">
        <v>13</v>
      </c>
      <c r="B6">
        <v>6</v>
      </c>
      <c r="C6" t="s">
        <v>14</v>
      </c>
      <c r="D6" t="s">
        <v>34</v>
      </c>
      <c r="E6">
        <v>21</v>
      </c>
      <c r="F6" t="s">
        <v>16</v>
      </c>
      <c r="G6" t="s">
        <v>35</v>
      </c>
      <c r="H6">
        <v>91</v>
      </c>
      <c r="I6" t="s">
        <v>18</v>
      </c>
      <c r="J6">
        <v>441</v>
      </c>
      <c r="K6" t="s">
        <v>19</v>
      </c>
      <c r="L6">
        <v>327</v>
      </c>
      <c r="M6" t="s">
        <v>11</v>
      </c>
      <c r="N6">
        <v>105</v>
      </c>
      <c r="O6" t="s">
        <v>20</v>
      </c>
      <c r="P6" t="s">
        <v>36</v>
      </c>
      <c r="Q6">
        <v>211</v>
      </c>
      <c r="R6" t="s">
        <v>22</v>
      </c>
      <c r="S6">
        <v>186.6</v>
      </c>
    </row>
    <row r="7" spans="1:19" x14ac:dyDescent="0.35">
      <c r="A7" t="s">
        <v>13</v>
      </c>
      <c r="B7">
        <v>7</v>
      </c>
      <c r="C7" t="s">
        <v>14</v>
      </c>
      <c r="D7" t="s">
        <v>37</v>
      </c>
      <c r="E7">
        <v>28</v>
      </c>
      <c r="F7" t="s">
        <v>16</v>
      </c>
      <c r="G7" t="s">
        <v>38</v>
      </c>
      <c r="H7">
        <v>140</v>
      </c>
      <c r="I7" t="s">
        <v>18</v>
      </c>
      <c r="J7">
        <v>784</v>
      </c>
      <c r="K7" t="s">
        <v>19</v>
      </c>
      <c r="L7">
        <v>644</v>
      </c>
      <c r="M7" t="s">
        <v>11</v>
      </c>
      <c r="N7">
        <v>196</v>
      </c>
      <c r="O7" t="s">
        <v>20</v>
      </c>
      <c r="P7" t="s">
        <v>39</v>
      </c>
      <c r="Q7">
        <v>259</v>
      </c>
      <c r="R7" t="s">
        <v>22</v>
      </c>
      <c r="S7">
        <v>223.52</v>
      </c>
    </row>
    <row r="8" spans="1:19" x14ac:dyDescent="0.35">
      <c r="A8" t="s">
        <v>13</v>
      </c>
      <c r="B8">
        <v>8</v>
      </c>
      <c r="C8" t="s">
        <v>14</v>
      </c>
      <c r="D8" t="s">
        <v>40</v>
      </c>
      <c r="E8">
        <v>36</v>
      </c>
      <c r="F8" t="s">
        <v>16</v>
      </c>
      <c r="G8" t="s">
        <v>41</v>
      </c>
      <c r="H8">
        <v>204</v>
      </c>
      <c r="I8" t="s">
        <v>18</v>
      </c>
      <c r="J8">
        <v>1296</v>
      </c>
      <c r="K8" t="s">
        <v>19</v>
      </c>
      <c r="L8">
        <v>1120</v>
      </c>
      <c r="M8" t="s">
        <v>11</v>
      </c>
      <c r="N8">
        <v>336</v>
      </c>
      <c r="O8" t="s">
        <v>20</v>
      </c>
      <c r="P8" t="s">
        <v>42</v>
      </c>
      <c r="Q8">
        <v>307</v>
      </c>
      <c r="R8" t="s">
        <v>22</v>
      </c>
      <c r="S8">
        <v>259.24</v>
      </c>
    </row>
    <row r="9" spans="1:19" x14ac:dyDescent="0.35">
      <c r="A9" t="s">
        <v>13</v>
      </c>
      <c r="B9">
        <v>9</v>
      </c>
      <c r="C9" t="s">
        <v>14</v>
      </c>
      <c r="D9" t="s">
        <v>43</v>
      </c>
      <c r="E9">
        <v>45</v>
      </c>
      <c r="F9" t="s">
        <v>16</v>
      </c>
      <c r="G9" t="s">
        <v>44</v>
      </c>
      <c r="H9">
        <v>285</v>
      </c>
      <c r="I9" t="s">
        <v>18</v>
      </c>
      <c r="J9">
        <v>2025</v>
      </c>
      <c r="K9" t="s">
        <v>19</v>
      </c>
      <c r="L9">
        <v>1836</v>
      </c>
      <c r="M9" t="s">
        <v>11</v>
      </c>
      <c r="N9">
        <v>540</v>
      </c>
      <c r="O9" t="s">
        <v>20</v>
      </c>
      <c r="P9" t="s">
        <v>45</v>
      </c>
      <c r="Q9">
        <v>356</v>
      </c>
      <c r="R9" t="s">
        <v>22</v>
      </c>
      <c r="S9">
        <v>293.95999999999998</v>
      </c>
    </row>
    <row r="10" spans="1:19" x14ac:dyDescent="0.35">
      <c r="A10" t="s">
        <v>13</v>
      </c>
      <c r="B10">
        <v>10</v>
      </c>
      <c r="C10" t="s">
        <v>14</v>
      </c>
      <c r="D10" t="s">
        <v>46</v>
      </c>
      <c r="E10">
        <v>55</v>
      </c>
      <c r="F10" t="s">
        <v>16</v>
      </c>
      <c r="G10" t="s">
        <v>47</v>
      </c>
      <c r="H10">
        <v>385</v>
      </c>
      <c r="I10" t="s">
        <v>18</v>
      </c>
      <c r="J10">
        <v>3025</v>
      </c>
      <c r="K10" t="s">
        <v>19</v>
      </c>
      <c r="L10">
        <v>2815</v>
      </c>
      <c r="M10" t="s">
        <v>11</v>
      </c>
      <c r="N10">
        <v>825</v>
      </c>
      <c r="O10" t="s">
        <v>20</v>
      </c>
      <c r="P10" t="s">
        <v>48</v>
      </c>
      <c r="Q10">
        <v>405</v>
      </c>
      <c r="R10" t="s">
        <v>22</v>
      </c>
      <c r="S10">
        <v>326.88</v>
      </c>
    </row>
    <row r="11" spans="1:19" x14ac:dyDescent="0.35">
      <c r="A11" t="s">
        <v>13</v>
      </c>
      <c r="B11">
        <v>11</v>
      </c>
      <c r="C11" t="s">
        <v>14</v>
      </c>
      <c r="D11" t="s">
        <v>49</v>
      </c>
      <c r="E11">
        <v>66</v>
      </c>
      <c r="F11" t="s">
        <v>16</v>
      </c>
      <c r="G11" t="s">
        <v>50</v>
      </c>
      <c r="H11">
        <v>506</v>
      </c>
      <c r="I11" t="s">
        <v>18</v>
      </c>
      <c r="J11">
        <v>4356</v>
      </c>
      <c r="K11" t="s">
        <v>19</v>
      </c>
      <c r="L11">
        <v>4169</v>
      </c>
      <c r="M11" t="s">
        <v>11</v>
      </c>
      <c r="N11">
        <v>1210</v>
      </c>
      <c r="O11" t="s">
        <v>20</v>
      </c>
      <c r="P11" t="s">
        <v>51</v>
      </c>
      <c r="Q11">
        <v>454</v>
      </c>
      <c r="R11" t="s">
        <v>22</v>
      </c>
      <c r="S11">
        <v>358.32</v>
      </c>
    </row>
    <row r="12" spans="1:19" x14ac:dyDescent="0.35">
      <c r="A12" t="s">
        <v>13</v>
      </c>
      <c r="B12">
        <v>12</v>
      </c>
      <c r="C12" t="s">
        <v>14</v>
      </c>
      <c r="D12" t="s">
        <v>52</v>
      </c>
      <c r="E12">
        <v>78</v>
      </c>
      <c r="F12" t="s">
        <v>16</v>
      </c>
      <c r="G12" t="s">
        <v>53</v>
      </c>
      <c r="H12">
        <v>650</v>
      </c>
      <c r="I12" t="s">
        <v>18</v>
      </c>
      <c r="J12">
        <v>6084</v>
      </c>
      <c r="K12" t="s">
        <v>19</v>
      </c>
      <c r="L12">
        <v>5850</v>
      </c>
      <c r="M12" t="s">
        <v>11</v>
      </c>
      <c r="N12">
        <v>1716</v>
      </c>
      <c r="O12" t="s">
        <v>20</v>
      </c>
      <c r="P12" t="s">
        <v>54</v>
      </c>
      <c r="Q12">
        <v>503</v>
      </c>
      <c r="R12" t="s">
        <v>22</v>
      </c>
      <c r="S12">
        <v>387.28</v>
      </c>
    </row>
    <row r="13" spans="1:19" x14ac:dyDescent="0.35">
      <c r="A13" t="s">
        <v>13</v>
      </c>
      <c r="B13">
        <v>13</v>
      </c>
      <c r="C13" t="s">
        <v>14</v>
      </c>
      <c r="D13" t="s">
        <v>55</v>
      </c>
      <c r="E13">
        <v>91</v>
      </c>
      <c r="F13" t="s">
        <v>16</v>
      </c>
      <c r="G13" t="s">
        <v>56</v>
      </c>
      <c r="H13">
        <v>819</v>
      </c>
      <c r="I13" t="s">
        <v>18</v>
      </c>
      <c r="J13">
        <v>8281</v>
      </c>
      <c r="K13" t="s">
        <v>19</v>
      </c>
      <c r="L13">
        <v>8060</v>
      </c>
      <c r="M13" t="s">
        <v>11</v>
      </c>
      <c r="N13">
        <v>2366</v>
      </c>
      <c r="O13" t="s">
        <v>20</v>
      </c>
      <c r="P13" t="s">
        <v>57</v>
      </c>
      <c r="Q13">
        <v>552</v>
      </c>
      <c r="R13" t="s">
        <v>22</v>
      </c>
      <c r="S13">
        <v>414.24</v>
      </c>
    </row>
    <row r="14" spans="1:19" x14ac:dyDescent="0.35">
      <c r="A14" t="s">
        <v>13</v>
      </c>
      <c r="B14">
        <v>14</v>
      </c>
      <c r="C14" t="s">
        <v>14</v>
      </c>
      <c r="D14" t="s">
        <v>58</v>
      </c>
      <c r="E14">
        <v>105</v>
      </c>
      <c r="F14" t="s">
        <v>16</v>
      </c>
      <c r="G14" t="s">
        <v>59</v>
      </c>
      <c r="H14">
        <v>1015</v>
      </c>
      <c r="I14" t="s">
        <v>18</v>
      </c>
      <c r="J14">
        <v>11025</v>
      </c>
      <c r="K14" t="s">
        <v>19</v>
      </c>
      <c r="L14">
        <v>10990</v>
      </c>
      <c r="M14" t="s">
        <v>11</v>
      </c>
      <c r="N14">
        <v>3185</v>
      </c>
      <c r="O14" t="s">
        <v>20</v>
      </c>
      <c r="P14" t="s">
        <v>60</v>
      </c>
      <c r="Q14">
        <v>602</v>
      </c>
      <c r="R14" t="s">
        <v>22</v>
      </c>
      <c r="S14">
        <v>439.84</v>
      </c>
    </row>
    <row r="15" spans="1:19" x14ac:dyDescent="0.35">
      <c r="A15" t="s">
        <v>13</v>
      </c>
      <c r="B15">
        <v>15</v>
      </c>
      <c r="C15" t="s">
        <v>14</v>
      </c>
      <c r="D15" t="s">
        <v>61</v>
      </c>
      <c r="E15">
        <v>120</v>
      </c>
      <c r="F15" t="s">
        <v>16</v>
      </c>
      <c r="G15" t="s">
        <v>62</v>
      </c>
      <c r="H15">
        <v>1240</v>
      </c>
      <c r="I15" t="s">
        <v>18</v>
      </c>
      <c r="J15">
        <v>14400</v>
      </c>
      <c r="K15" t="s">
        <v>19</v>
      </c>
      <c r="L15">
        <v>14565</v>
      </c>
      <c r="M15" t="s">
        <v>11</v>
      </c>
      <c r="N15">
        <v>4200</v>
      </c>
      <c r="O15" t="s">
        <v>20</v>
      </c>
      <c r="P15" t="s">
        <v>63</v>
      </c>
      <c r="Q15">
        <v>652</v>
      </c>
      <c r="R15" t="s">
        <v>22</v>
      </c>
      <c r="S15">
        <v>463.68</v>
      </c>
    </row>
    <row r="16" spans="1:19" x14ac:dyDescent="0.35">
      <c r="A16" t="s">
        <v>13</v>
      </c>
      <c r="B16">
        <v>16</v>
      </c>
      <c r="C16" t="s">
        <v>14</v>
      </c>
      <c r="D16" t="s">
        <v>64</v>
      </c>
      <c r="E16">
        <v>136</v>
      </c>
      <c r="F16" t="s">
        <v>16</v>
      </c>
      <c r="G16" t="s">
        <v>65</v>
      </c>
      <c r="H16">
        <v>1496</v>
      </c>
      <c r="I16" t="s">
        <v>18</v>
      </c>
      <c r="J16">
        <v>18496</v>
      </c>
      <c r="K16" t="s">
        <v>19</v>
      </c>
      <c r="L16">
        <v>18632</v>
      </c>
      <c r="M16" t="s">
        <v>11</v>
      </c>
      <c r="N16">
        <v>5440</v>
      </c>
      <c r="O16" t="s">
        <v>20</v>
      </c>
      <c r="P16" t="s">
        <v>66</v>
      </c>
      <c r="Q16">
        <v>701</v>
      </c>
      <c r="R16" t="s">
        <v>22</v>
      </c>
      <c r="S16">
        <v>484.96</v>
      </c>
    </row>
    <row r="17" spans="1:19" x14ac:dyDescent="0.35">
      <c r="A17" t="s">
        <v>13</v>
      </c>
      <c r="B17">
        <v>17</v>
      </c>
      <c r="C17" t="s">
        <v>14</v>
      </c>
      <c r="D17" t="s">
        <v>67</v>
      </c>
      <c r="E17">
        <v>153</v>
      </c>
      <c r="F17" t="s">
        <v>16</v>
      </c>
      <c r="G17" t="s">
        <v>68</v>
      </c>
      <c r="H17">
        <v>1785</v>
      </c>
      <c r="I17" t="s">
        <v>18</v>
      </c>
      <c r="J17">
        <v>23409</v>
      </c>
      <c r="K17" t="s">
        <v>19</v>
      </c>
      <c r="L17">
        <v>22950</v>
      </c>
      <c r="M17" t="s">
        <v>11</v>
      </c>
      <c r="N17">
        <v>6936</v>
      </c>
      <c r="O17" t="s">
        <v>20</v>
      </c>
      <c r="P17" t="s">
        <v>69</v>
      </c>
      <c r="Q17">
        <v>749</v>
      </c>
      <c r="R17" t="s">
        <v>22</v>
      </c>
      <c r="S17">
        <v>502.64</v>
      </c>
    </row>
    <row r="18" spans="1:19" x14ac:dyDescent="0.35">
      <c r="A18" t="s">
        <v>13</v>
      </c>
      <c r="B18">
        <v>18</v>
      </c>
      <c r="C18" t="s">
        <v>14</v>
      </c>
      <c r="D18" t="s">
        <v>70</v>
      </c>
      <c r="E18">
        <v>171</v>
      </c>
      <c r="F18" t="s">
        <v>16</v>
      </c>
      <c r="G18" t="s">
        <v>71</v>
      </c>
      <c r="H18">
        <v>2109</v>
      </c>
      <c r="I18" t="s">
        <v>18</v>
      </c>
      <c r="J18">
        <v>29241</v>
      </c>
      <c r="K18" t="s">
        <v>19</v>
      </c>
      <c r="L18">
        <v>28404</v>
      </c>
      <c r="M18" t="s">
        <v>11</v>
      </c>
      <c r="N18">
        <v>8721</v>
      </c>
      <c r="O18" t="s">
        <v>20</v>
      </c>
      <c r="P18" t="s">
        <v>72</v>
      </c>
      <c r="Q18">
        <v>796</v>
      </c>
      <c r="R18" t="s">
        <v>22</v>
      </c>
      <c r="S18">
        <v>517.67999999999995</v>
      </c>
    </row>
    <row r="19" spans="1:19" x14ac:dyDescent="0.35">
      <c r="A19" t="s">
        <v>13</v>
      </c>
      <c r="B19">
        <v>19</v>
      </c>
      <c r="C19" t="s">
        <v>14</v>
      </c>
      <c r="D19" t="s">
        <v>73</v>
      </c>
      <c r="E19">
        <v>190</v>
      </c>
      <c r="F19" t="s">
        <v>16</v>
      </c>
      <c r="G19" t="s">
        <v>74</v>
      </c>
      <c r="H19">
        <v>2470</v>
      </c>
      <c r="I19" t="s">
        <v>18</v>
      </c>
      <c r="J19">
        <v>36100</v>
      </c>
      <c r="K19" t="s">
        <v>19</v>
      </c>
      <c r="L19">
        <v>35340</v>
      </c>
      <c r="M19" t="s">
        <v>11</v>
      </c>
      <c r="N19">
        <v>10830</v>
      </c>
      <c r="O19" t="s">
        <v>20</v>
      </c>
      <c r="P19" t="s">
        <v>75</v>
      </c>
      <c r="Q19">
        <v>843</v>
      </c>
      <c r="R19" t="s">
        <v>22</v>
      </c>
      <c r="S19">
        <v>530.91999999999996</v>
      </c>
    </row>
    <row r="20" spans="1:19" x14ac:dyDescent="0.35">
      <c r="A20" t="s">
        <v>13</v>
      </c>
      <c r="B20">
        <v>20</v>
      </c>
      <c r="C20" t="s">
        <v>14</v>
      </c>
      <c r="D20" t="s">
        <v>76</v>
      </c>
      <c r="E20">
        <v>210</v>
      </c>
      <c r="F20" t="s">
        <v>16</v>
      </c>
      <c r="G20" t="s">
        <v>77</v>
      </c>
      <c r="H20">
        <v>2870</v>
      </c>
      <c r="I20" t="s">
        <v>18</v>
      </c>
      <c r="J20">
        <v>44100</v>
      </c>
      <c r="K20" t="s">
        <v>19</v>
      </c>
      <c r="L20">
        <v>43220</v>
      </c>
      <c r="M20" t="s">
        <v>11</v>
      </c>
      <c r="N20">
        <v>13300</v>
      </c>
      <c r="O20" t="s">
        <v>20</v>
      </c>
      <c r="P20" t="s">
        <v>78</v>
      </c>
      <c r="Q20">
        <v>890</v>
      </c>
      <c r="R20" t="s">
        <v>22</v>
      </c>
      <c r="S20">
        <v>542.08000000000004</v>
      </c>
    </row>
    <row r="21" spans="1:19" x14ac:dyDescent="0.35">
      <c r="A21" t="s">
        <v>13</v>
      </c>
      <c r="B21">
        <v>21</v>
      </c>
      <c r="C21" t="s">
        <v>14</v>
      </c>
      <c r="D21" t="s">
        <v>79</v>
      </c>
      <c r="E21">
        <v>231</v>
      </c>
      <c r="F21" t="s">
        <v>16</v>
      </c>
      <c r="G21" t="s">
        <v>80</v>
      </c>
      <c r="H21">
        <v>3311</v>
      </c>
      <c r="I21" t="s">
        <v>18</v>
      </c>
      <c r="J21">
        <v>53361</v>
      </c>
      <c r="K21" t="s">
        <v>19</v>
      </c>
      <c r="L21">
        <v>52122</v>
      </c>
      <c r="M21" t="s">
        <v>11</v>
      </c>
      <c r="N21">
        <v>16170</v>
      </c>
      <c r="O21" t="s">
        <v>20</v>
      </c>
      <c r="P21" t="s">
        <v>81</v>
      </c>
      <c r="Q21">
        <v>936</v>
      </c>
      <c r="R21" t="s">
        <v>22</v>
      </c>
      <c r="S21">
        <v>551.04</v>
      </c>
    </row>
    <row r="22" spans="1:19" x14ac:dyDescent="0.35">
      <c r="A22" t="s">
        <v>13</v>
      </c>
      <c r="B22">
        <v>22</v>
      </c>
      <c r="C22" t="s">
        <v>14</v>
      </c>
      <c r="D22" t="s">
        <v>82</v>
      </c>
      <c r="E22">
        <v>253</v>
      </c>
      <c r="F22" t="s">
        <v>16</v>
      </c>
      <c r="G22" t="s">
        <v>83</v>
      </c>
      <c r="H22">
        <v>3795</v>
      </c>
      <c r="I22" t="s">
        <v>18</v>
      </c>
      <c r="J22">
        <v>64009</v>
      </c>
      <c r="K22" t="s">
        <v>19</v>
      </c>
      <c r="L22">
        <v>62590</v>
      </c>
      <c r="M22" t="s">
        <v>11</v>
      </c>
      <c r="N22">
        <v>19481</v>
      </c>
      <c r="O22" t="s">
        <v>20</v>
      </c>
      <c r="P22" t="s">
        <v>84</v>
      </c>
      <c r="Q22">
        <v>982</v>
      </c>
      <c r="R22" t="s">
        <v>22</v>
      </c>
      <c r="S22">
        <v>558</v>
      </c>
    </row>
    <row r="23" spans="1:19" x14ac:dyDescent="0.35">
      <c r="A23" t="s">
        <v>13</v>
      </c>
      <c r="B23">
        <v>23</v>
      </c>
      <c r="C23" t="s">
        <v>14</v>
      </c>
      <c r="D23" t="s">
        <v>85</v>
      </c>
      <c r="E23">
        <v>276</v>
      </c>
      <c r="F23" t="s">
        <v>16</v>
      </c>
      <c r="G23" t="s">
        <v>86</v>
      </c>
      <c r="H23">
        <v>4324</v>
      </c>
      <c r="I23" t="s">
        <v>18</v>
      </c>
      <c r="J23">
        <v>76176</v>
      </c>
      <c r="K23" t="s">
        <v>19</v>
      </c>
      <c r="L23">
        <v>75049</v>
      </c>
      <c r="M23" t="s">
        <v>11</v>
      </c>
      <c r="N23">
        <v>23276</v>
      </c>
      <c r="O23" t="s">
        <v>20</v>
      </c>
      <c r="P23" t="s">
        <v>81</v>
      </c>
      <c r="Q23">
        <v>1029</v>
      </c>
      <c r="R23" t="s">
        <v>22</v>
      </c>
      <c r="S23">
        <v>563.24</v>
      </c>
    </row>
    <row r="24" spans="1:19" x14ac:dyDescent="0.35">
      <c r="A24" t="s">
        <v>13</v>
      </c>
      <c r="B24">
        <v>24</v>
      </c>
      <c r="C24" t="s">
        <v>14</v>
      </c>
      <c r="D24" t="s">
        <v>87</v>
      </c>
      <c r="E24">
        <v>300</v>
      </c>
      <c r="F24" t="s">
        <v>16</v>
      </c>
      <c r="G24" t="s">
        <v>88</v>
      </c>
      <c r="H24">
        <v>4900</v>
      </c>
      <c r="I24" t="s">
        <v>18</v>
      </c>
      <c r="J24">
        <v>90000</v>
      </c>
      <c r="K24" t="s">
        <v>19</v>
      </c>
      <c r="L24">
        <v>88620</v>
      </c>
      <c r="M24" t="s">
        <v>11</v>
      </c>
      <c r="N24">
        <v>27600</v>
      </c>
      <c r="O24" t="s">
        <v>20</v>
      </c>
      <c r="P24" t="s">
        <v>89</v>
      </c>
      <c r="Q24">
        <v>1075</v>
      </c>
      <c r="R24" t="s">
        <v>22</v>
      </c>
      <c r="S24">
        <v>566.44000000000005</v>
      </c>
    </row>
    <row r="25" spans="1:19" x14ac:dyDescent="0.35">
      <c r="A25" t="s">
        <v>13</v>
      </c>
      <c r="B25">
        <v>25</v>
      </c>
      <c r="C25" t="s">
        <v>14</v>
      </c>
      <c r="D25" t="s">
        <v>90</v>
      </c>
      <c r="E25">
        <v>325</v>
      </c>
      <c r="F25" t="s">
        <v>16</v>
      </c>
      <c r="G25" t="s">
        <v>91</v>
      </c>
      <c r="H25">
        <v>5525</v>
      </c>
      <c r="I25" t="s">
        <v>18</v>
      </c>
      <c r="J25">
        <v>105625</v>
      </c>
      <c r="K25" t="s">
        <v>19</v>
      </c>
      <c r="L25">
        <v>97050</v>
      </c>
      <c r="M25" t="s">
        <v>11</v>
      </c>
      <c r="N25">
        <v>32500</v>
      </c>
      <c r="O25" t="s">
        <v>20</v>
      </c>
      <c r="P25" t="s">
        <v>92</v>
      </c>
      <c r="Q25">
        <v>1118</v>
      </c>
      <c r="R25" t="s">
        <v>22</v>
      </c>
      <c r="S25">
        <v>568.16</v>
      </c>
    </row>
    <row r="26" spans="1:19" x14ac:dyDescent="0.35">
      <c r="A26" t="s">
        <v>13</v>
      </c>
      <c r="B26">
        <v>26</v>
      </c>
      <c r="C26" t="s">
        <v>14</v>
      </c>
      <c r="D26" t="s">
        <v>93</v>
      </c>
      <c r="E26">
        <v>351</v>
      </c>
      <c r="F26" t="s">
        <v>16</v>
      </c>
      <c r="G26" t="s">
        <v>94</v>
      </c>
      <c r="H26">
        <v>6201</v>
      </c>
      <c r="I26" t="s">
        <v>18</v>
      </c>
      <c r="J26">
        <v>123201</v>
      </c>
      <c r="K26" t="s">
        <v>19</v>
      </c>
      <c r="L26">
        <v>107809</v>
      </c>
      <c r="M26" t="s">
        <v>11</v>
      </c>
      <c r="N26">
        <v>38025</v>
      </c>
      <c r="O26" t="s">
        <v>20</v>
      </c>
      <c r="P26" t="s">
        <v>95</v>
      </c>
      <c r="Q26">
        <v>1115</v>
      </c>
      <c r="R26" t="s">
        <v>22</v>
      </c>
      <c r="S26">
        <v>530.48</v>
      </c>
    </row>
    <row r="27" spans="1:19" x14ac:dyDescent="0.35">
      <c r="A27" t="s">
        <v>13</v>
      </c>
      <c r="B27">
        <v>27</v>
      </c>
      <c r="C27" t="s">
        <v>14</v>
      </c>
      <c r="D27" t="s">
        <v>96</v>
      </c>
      <c r="E27">
        <v>378</v>
      </c>
      <c r="F27" t="s">
        <v>16</v>
      </c>
      <c r="G27" t="s">
        <v>97</v>
      </c>
      <c r="H27">
        <v>6930</v>
      </c>
      <c r="I27" t="s">
        <v>18</v>
      </c>
      <c r="J27">
        <v>142884</v>
      </c>
      <c r="K27" t="s">
        <v>19</v>
      </c>
      <c r="L27">
        <v>128223</v>
      </c>
      <c r="M27" t="s">
        <v>11</v>
      </c>
      <c r="N27">
        <v>44226</v>
      </c>
      <c r="O27" t="s">
        <v>20</v>
      </c>
      <c r="P27" t="s">
        <v>98</v>
      </c>
      <c r="Q27">
        <v>1114</v>
      </c>
      <c r="R27" t="s">
        <v>22</v>
      </c>
      <c r="S27">
        <v>493.56</v>
      </c>
    </row>
    <row r="28" spans="1:19" x14ac:dyDescent="0.35">
      <c r="A28" t="s">
        <v>13</v>
      </c>
      <c r="B28">
        <v>28</v>
      </c>
      <c r="C28" t="s">
        <v>14</v>
      </c>
      <c r="D28" t="s">
        <v>99</v>
      </c>
      <c r="E28">
        <v>406</v>
      </c>
      <c r="F28" t="s">
        <v>16</v>
      </c>
      <c r="G28" t="s">
        <v>100</v>
      </c>
      <c r="H28">
        <v>7714</v>
      </c>
      <c r="I28" t="s">
        <v>18</v>
      </c>
      <c r="J28">
        <v>164836</v>
      </c>
      <c r="K28" t="s">
        <v>19</v>
      </c>
      <c r="L28">
        <v>150976</v>
      </c>
      <c r="M28" t="s">
        <v>11</v>
      </c>
      <c r="N28">
        <v>51156</v>
      </c>
      <c r="O28" t="s">
        <v>20</v>
      </c>
      <c r="P28" t="s">
        <v>101</v>
      </c>
      <c r="Q28">
        <v>1118</v>
      </c>
      <c r="R28" t="s">
        <v>22</v>
      </c>
      <c r="S28">
        <v>461.92</v>
      </c>
    </row>
    <row r="29" spans="1:19" x14ac:dyDescent="0.35">
      <c r="A29" t="s">
        <v>13</v>
      </c>
      <c r="B29">
        <v>29</v>
      </c>
      <c r="C29" t="s">
        <v>14</v>
      </c>
      <c r="D29" t="s">
        <v>102</v>
      </c>
      <c r="E29">
        <v>435</v>
      </c>
      <c r="F29" t="s">
        <v>16</v>
      </c>
      <c r="G29" t="s">
        <v>103</v>
      </c>
      <c r="H29">
        <v>8555</v>
      </c>
      <c r="I29" t="s">
        <v>18</v>
      </c>
      <c r="J29">
        <v>189225</v>
      </c>
      <c r="K29" t="s">
        <v>19</v>
      </c>
      <c r="L29">
        <v>166895</v>
      </c>
      <c r="M29" t="s">
        <v>11</v>
      </c>
      <c r="N29">
        <v>58870</v>
      </c>
      <c r="O29" t="s">
        <v>20</v>
      </c>
      <c r="P29" t="s">
        <v>95</v>
      </c>
      <c r="Q29">
        <v>1117</v>
      </c>
      <c r="R29" t="s">
        <v>22</v>
      </c>
      <c r="S29">
        <v>430.72</v>
      </c>
    </row>
    <row r="30" spans="1:19" x14ac:dyDescent="0.35">
      <c r="A30" t="s">
        <v>13</v>
      </c>
      <c r="B30">
        <v>30</v>
      </c>
      <c r="C30" t="s">
        <v>14</v>
      </c>
      <c r="D30" t="s">
        <v>104</v>
      </c>
      <c r="E30">
        <v>465</v>
      </c>
      <c r="F30" t="s">
        <v>16</v>
      </c>
      <c r="G30" t="s">
        <v>105</v>
      </c>
      <c r="H30">
        <v>9455</v>
      </c>
      <c r="I30" t="s">
        <v>18</v>
      </c>
      <c r="J30">
        <v>216225</v>
      </c>
      <c r="K30" t="s">
        <v>19</v>
      </c>
      <c r="L30">
        <v>177450</v>
      </c>
      <c r="M30" t="s">
        <v>11</v>
      </c>
      <c r="N30">
        <v>67425</v>
      </c>
      <c r="O30" t="s">
        <v>20</v>
      </c>
      <c r="P30" t="s">
        <v>106</v>
      </c>
      <c r="Q30">
        <v>1110</v>
      </c>
      <c r="R30" t="s">
        <v>22</v>
      </c>
      <c r="S30">
        <v>400.84</v>
      </c>
    </row>
    <row r="31" spans="1:19" x14ac:dyDescent="0.35">
      <c r="A31" t="s">
        <v>13</v>
      </c>
      <c r="B31">
        <v>31</v>
      </c>
      <c r="C31" t="s">
        <v>14</v>
      </c>
      <c r="D31" t="s">
        <v>107</v>
      </c>
      <c r="E31">
        <v>496</v>
      </c>
      <c r="F31" t="s">
        <v>16</v>
      </c>
      <c r="G31" t="s">
        <v>108</v>
      </c>
      <c r="H31">
        <v>10416</v>
      </c>
      <c r="I31" t="s">
        <v>18</v>
      </c>
      <c r="J31">
        <v>246016</v>
      </c>
      <c r="K31" t="s">
        <v>19</v>
      </c>
      <c r="L31">
        <v>208785</v>
      </c>
      <c r="M31" t="s">
        <v>11</v>
      </c>
      <c r="N31">
        <v>76880</v>
      </c>
      <c r="O31" t="s">
        <v>20</v>
      </c>
      <c r="P31" t="s">
        <v>109</v>
      </c>
      <c r="Q31">
        <v>1101</v>
      </c>
      <c r="R31" t="s">
        <v>22</v>
      </c>
      <c r="S31">
        <v>368.88</v>
      </c>
    </row>
    <row r="32" spans="1:19" x14ac:dyDescent="0.35">
      <c r="A32" t="s">
        <v>13</v>
      </c>
      <c r="B32">
        <v>32</v>
      </c>
      <c r="C32" t="s">
        <v>14</v>
      </c>
      <c r="D32" t="s">
        <v>110</v>
      </c>
      <c r="E32">
        <v>528</v>
      </c>
      <c r="F32" t="s">
        <v>16</v>
      </c>
      <c r="G32" t="s">
        <v>111</v>
      </c>
      <c r="H32">
        <v>11440</v>
      </c>
      <c r="I32" t="s">
        <v>18</v>
      </c>
      <c r="J32">
        <v>278784</v>
      </c>
      <c r="K32" t="s">
        <v>19</v>
      </c>
      <c r="L32">
        <v>244736</v>
      </c>
      <c r="M32" t="s">
        <v>11</v>
      </c>
      <c r="N32">
        <v>87296</v>
      </c>
      <c r="O32" t="s">
        <v>20</v>
      </c>
      <c r="P32" t="s">
        <v>112</v>
      </c>
      <c r="Q32">
        <v>1094</v>
      </c>
      <c r="R32" t="s">
        <v>22</v>
      </c>
      <c r="S32">
        <v>336.56</v>
      </c>
    </row>
    <row r="33" spans="1:19" x14ac:dyDescent="0.35">
      <c r="A33" t="s">
        <v>13</v>
      </c>
      <c r="B33">
        <v>33</v>
      </c>
      <c r="C33" t="s">
        <v>14</v>
      </c>
      <c r="D33" t="s">
        <v>113</v>
      </c>
      <c r="E33">
        <v>561</v>
      </c>
      <c r="F33" t="s">
        <v>16</v>
      </c>
      <c r="G33" t="s">
        <v>114</v>
      </c>
      <c r="H33">
        <v>12529</v>
      </c>
      <c r="I33" t="s">
        <v>18</v>
      </c>
      <c r="J33">
        <v>314721</v>
      </c>
      <c r="K33" t="s">
        <v>19</v>
      </c>
      <c r="L33">
        <v>278289</v>
      </c>
      <c r="M33" t="s">
        <v>11</v>
      </c>
      <c r="N33">
        <v>98736</v>
      </c>
      <c r="O33" t="s">
        <v>20</v>
      </c>
      <c r="P33" t="s">
        <v>115</v>
      </c>
      <c r="Q33">
        <v>1085</v>
      </c>
      <c r="R33" t="s">
        <v>22</v>
      </c>
      <c r="S33">
        <v>304.68</v>
      </c>
    </row>
    <row r="34" spans="1:19" x14ac:dyDescent="0.35">
      <c r="A34" t="s">
        <v>13</v>
      </c>
      <c r="B34">
        <v>34</v>
      </c>
      <c r="C34" t="s">
        <v>14</v>
      </c>
      <c r="D34" t="s">
        <v>116</v>
      </c>
      <c r="E34">
        <v>595</v>
      </c>
      <c r="F34" t="s">
        <v>16</v>
      </c>
      <c r="G34" t="s">
        <v>117</v>
      </c>
      <c r="H34">
        <v>13685</v>
      </c>
      <c r="I34" t="s">
        <v>18</v>
      </c>
      <c r="J34">
        <v>354025</v>
      </c>
      <c r="K34" t="s">
        <v>19</v>
      </c>
      <c r="L34">
        <v>293216</v>
      </c>
      <c r="M34" t="s">
        <v>11</v>
      </c>
      <c r="N34">
        <v>111265</v>
      </c>
      <c r="O34" t="s">
        <v>20</v>
      </c>
      <c r="P34" t="s">
        <v>118</v>
      </c>
      <c r="Q34">
        <v>1074</v>
      </c>
      <c r="R34" t="s">
        <v>22</v>
      </c>
      <c r="S34">
        <v>276.8</v>
      </c>
    </row>
    <row r="35" spans="1:19" x14ac:dyDescent="0.35">
      <c r="A35" t="s">
        <v>13</v>
      </c>
      <c r="B35">
        <v>35</v>
      </c>
      <c r="C35" t="s">
        <v>14</v>
      </c>
      <c r="D35" t="s">
        <v>119</v>
      </c>
      <c r="E35">
        <v>630</v>
      </c>
      <c r="F35" t="s">
        <v>16</v>
      </c>
      <c r="G35" t="s">
        <v>120</v>
      </c>
      <c r="H35">
        <v>14910</v>
      </c>
      <c r="I35" t="s">
        <v>18</v>
      </c>
      <c r="J35">
        <v>396900</v>
      </c>
      <c r="K35" t="s">
        <v>19</v>
      </c>
      <c r="L35">
        <v>333515</v>
      </c>
      <c r="M35" t="s">
        <v>11</v>
      </c>
      <c r="N35">
        <v>124950</v>
      </c>
      <c r="O35" t="s">
        <v>20</v>
      </c>
      <c r="P35" t="s">
        <v>121</v>
      </c>
      <c r="Q35">
        <v>1063</v>
      </c>
      <c r="R35" t="s">
        <v>22</v>
      </c>
      <c r="S35">
        <v>249.48</v>
      </c>
    </row>
    <row r="36" spans="1:19" x14ac:dyDescent="0.35">
      <c r="A36" t="s">
        <v>13</v>
      </c>
      <c r="B36">
        <v>36</v>
      </c>
      <c r="C36" t="s">
        <v>14</v>
      </c>
      <c r="D36" t="s">
        <v>122</v>
      </c>
      <c r="E36">
        <v>666</v>
      </c>
      <c r="F36" t="s">
        <v>16</v>
      </c>
      <c r="G36" t="s">
        <v>123</v>
      </c>
      <c r="H36">
        <v>16206</v>
      </c>
      <c r="I36" t="s">
        <v>18</v>
      </c>
      <c r="J36">
        <v>443556</v>
      </c>
      <c r="K36" t="s">
        <v>19</v>
      </c>
      <c r="L36">
        <v>382554</v>
      </c>
      <c r="M36" t="s">
        <v>11</v>
      </c>
      <c r="N36">
        <v>139860</v>
      </c>
      <c r="O36" t="s">
        <v>20</v>
      </c>
      <c r="P36" t="s">
        <v>124</v>
      </c>
      <c r="Q36">
        <v>1053</v>
      </c>
      <c r="R36" t="s">
        <v>22</v>
      </c>
      <c r="S36">
        <v>223.28</v>
      </c>
    </row>
    <row r="37" spans="1:19" x14ac:dyDescent="0.35">
      <c r="A37" t="s">
        <v>13</v>
      </c>
      <c r="B37">
        <v>37</v>
      </c>
      <c r="C37" t="s">
        <v>14</v>
      </c>
      <c r="D37" t="s">
        <v>125</v>
      </c>
      <c r="E37">
        <v>703</v>
      </c>
      <c r="F37" t="s">
        <v>16</v>
      </c>
      <c r="G37" t="s">
        <v>126</v>
      </c>
      <c r="H37">
        <v>17575</v>
      </c>
      <c r="I37" t="s">
        <v>18</v>
      </c>
      <c r="J37">
        <v>494209</v>
      </c>
      <c r="K37" t="s">
        <v>19</v>
      </c>
      <c r="L37">
        <v>423798</v>
      </c>
      <c r="M37" t="s">
        <v>11</v>
      </c>
      <c r="N37">
        <v>156066</v>
      </c>
      <c r="O37" t="s">
        <v>20</v>
      </c>
      <c r="P37" t="s">
        <v>109</v>
      </c>
      <c r="Q37">
        <v>1043</v>
      </c>
      <c r="R37" t="s">
        <v>22</v>
      </c>
      <c r="S37">
        <v>198.96</v>
      </c>
    </row>
    <row r="38" spans="1:19" x14ac:dyDescent="0.35">
      <c r="A38" t="s">
        <v>13</v>
      </c>
      <c r="B38">
        <v>38</v>
      </c>
      <c r="C38" t="s">
        <v>14</v>
      </c>
      <c r="D38" t="s">
        <v>127</v>
      </c>
      <c r="E38">
        <v>741</v>
      </c>
      <c r="F38" t="s">
        <v>16</v>
      </c>
      <c r="G38" t="s">
        <v>128</v>
      </c>
      <c r="H38">
        <v>19019</v>
      </c>
      <c r="I38" t="s">
        <v>18</v>
      </c>
      <c r="J38">
        <v>549081</v>
      </c>
      <c r="K38" t="s">
        <v>19</v>
      </c>
      <c r="L38">
        <v>470212</v>
      </c>
      <c r="M38" t="s">
        <v>11</v>
      </c>
      <c r="N38">
        <v>173641</v>
      </c>
      <c r="O38" t="s">
        <v>20</v>
      </c>
      <c r="P38" t="s">
        <v>129</v>
      </c>
      <c r="Q38">
        <v>1033</v>
      </c>
      <c r="R38" t="s">
        <v>22</v>
      </c>
      <c r="S38">
        <v>175.72</v>
      </c>
    </row>
    <row r="39" spans="1:19" x14ac:dyDescent="0.35">
      <c r="A39" t="s">
        <v>13</v>
      </c>
      <c r="B39">
        <v>39</v>
      </c>
      <c r="C39" t="s">
        <v>14</v>
      </c>
      <c r="D39" t="s">
        <v>130</v>
      </c>
      <c r="E39">
        <v>780</v>
      </c>
      <c r="F39" t="s">
        <v>16</v>
      </c>
      <c r="G39" t="s">
        <v>131</v>
      </c>
      <c r="H39">
        <v>20540</v>
      </c>
      <c r="I39" t="s">
        <v>18</v>
      </c>
      <c r="J39">
        <v>608400</v>
      </c>
      <c r="K39" t="s">
        <v>19</v>
      </c>
      <c r="L39">
        <v>536991</v>
      </c>
      <c r="M39" t="s">
        <v>11</v>
      </c>
      <c r="N39">
        <v>192660</v>
      </c>
      <c r="O39" t="s">
        <v>20</v>
      </c>
      <c r="P39" t="s">
        <v>132</v>
      </c>
      <c r="Q39">
        <v>1023</v>
      </c>
      <c r="R39" t="s">
        <v>22</v>
      </c>
      <c r="S39">
        <v>152.68</v>
      </c>
    </row>
    <row r="40" spans="1:19" x14ac:dyDescent="0.35">
      <c r="A40" t="s">
        <v>13</v>
      </c>
      <c r="B40">
        <v>40</v>
      </c>
      <c r="C40" t="s">
        <v>14</v>
      </c>
      <c r="D40" t="s">
        <v>133</v>
      </c>
      <c r="E40">
        <v>820</v>
      </c>
      <c r="F40" t="s">
        <v>16</v>
      </c>
      <c r="G40" t="s">
        <v>134</v>
      </c>
      <c r="H40">
        <v>22140</v>
      </c>
      <c r="I40" t="s">
        <v>18</v>
      </c>
      <c r="J40">
        <v>672400</v>
      </c>
      <c r="K40" t="s">
        <v>19</v>
      </c>
      <c r="L40">
        <v>601880</v>
      </c>
      <c r="M40" t="s">
        <v>11</v>
      </c>
      <c r="N40">
        <v>213200</v>
      </c>
      <c r="O40" t="s">
        <v>20</v>
      </c>
      <c r="P40" t="s">
        <v>135</v>
      </c>
      <c r="Q40">
        <v>1014</v>
      </c>
      <c r="R40" t="s">
        <v>22</v>
      </c>
      <c r="S40">
        <v>131.47999999999999</v>
      </c>
    </row>
    <row r="41" spans="1:19" x14ac:dyDescent="0.35">
      <c r="A41" t="s">
        <v>13</v>
      </c>
      <c r="B41">
        <v>41</v>
      </c>
      <c r="C41" t="s">
        <v>14</v>
      </c>
      <c r="D41" t="s">
        <v>136</v>
      </c>
      <c r="E41">
        <v>861</v>
      </c>
      <c r="F41" t="s">
        <v>16</v>
      </c>
      <c r="G41" t="s">
        <v>137</v>
      </c>
      <c r="H41">
        <v>23821</v>
      </c>
      <c r="I41" t="s">
        <v>18</v>
      </c>
      <c r="J41">
        <v>741321</v>
      </c>
      <c r="K41" t="s">
        <v>19</v>
      </c>
      <c r="L41">
        <v>668505</v>
      </c>
      <c r="M41" t="s">
        <v>11</v>
      </c>
      <c r="N41">
        <v>235340</v>
      </c>
      <c r="O41" t="s">
        <v>20</v>
      </c>
      <c r="P41" t="s">
        <v>138</v>
      </c>
      <c r="Q41">
        <v>1007</v>
      </c>
      <c r="R41" t="s">
        <v>22</v>
      </c>
      <c r="S41">
        <v>114.4</v>
      </c>
    </row>
    <row r="42" spans="1:19" x14ac:dyDescent="0.35">
      <c r="A42" t="s">
        <v>13</v>
      </c>
      <c r="B42">
        <v>42</v>
      </c>
      <c r="C42" t="s">
        <v>14</v>
      </c>
      <c r="D42" t="s">
        <v>139</v>
      </c>
      <c r="E42">
        <v>903</v>
      </c>
      <c r="F42" t="s">
        <v>16</v>
      </c>
      <c r="G42" t="s">
        <v>140</v>
      </c>
      <c r="H42">
        <v>25585</v>
      </c>
      <c r="I42" t="s">
        <v>18</v>
      </c>
      <c r="J42">
        <v>815409</v>
      </c>
      <c r="K42" t="s">
        <v>19</v>
      </c>
      <c r="L42">
        <v>731619</v>
      </c>
      <c r="M42" t="s">
        <v>11</v>
      </c>
      <c r="N42">
        <v>259161</v>
      </c>
      <c r="O42" t="s">
        <v>20</v>
      </c>
      <c r="P42" t="s">
        <v>135</v>
      </c>
      <c r="Q42">
        <v>1001</v>
      </c>
      <c r="R42" t="s">
        <v>22</v>
      </c>
      <c r="S42">
        <v>99.96</v>
      </c>
    </row>
    <row r="43" spans="1:19" x14ac:dyDescent="0.35">
      <c r="A43" t="s">
        <v>13</v>
      </c>
      <c r="B43">
        <v>43</v>
      </c>
      <c r="C43" t="s">
        <v>14</v>
      </c>
      <c r="D43" t="s">
        <v>141</v>
      </c>
      <c r="E43">
        <v>946</v>
      </c>
      <c r="F43" t="s">
        <v>16</v>
      </c>
      <c r="G43" t="s">
        <v>142</v>
      </c>
      <c r="H43">
        <v>27434</v>
      </c>
      <c r="I43" t="s">
        <v>18</v>
      </c>
      <c r="J43">
        <v>894916</v>
      </c>
      <c r="K43" t="s">
        <v>19</v>
      </c>
      <c r="L43">
        <v>818634</v>
      </c>
      <c r="M43" t="s">
        <v>11</v>
      </c>
      <c r="N43">
        <v>284746</v>
      </c>
      <c r="O43" t="s">
        <v>20</v>
      </c>
      <c r="P43" t="s">
        <v>143</v>
      </c>
      <c r="Q43">
        <v>996</v>
      </c>
      <c r="R43" t="s">
        <v>22</v>
      </c>
      <c r="S43">
        <v>88.24</v>
      </c>
    </row>
    <row r="44" spans="1:19" x14ac:dyDescent="0.35">
      <c r="A44" t="s">
        <v>13</v>
      </c>
      <c r="B44">
        <v>44</v>
      </c>
      <c r="C44" t="s">
        <v>14</v>
      </c>
      <c r="D44" t="s">
        <v>144</v>
      </c>
      <c r="E44">
        <v>990</v>
      </c>
      <c r="F44" t="s">
        <v>16</v>
      </c>
      <c r="G44" t="s">
        <v>145</v>
      </c>
      <c r="H44">
        <v>29370</v>
      </c>
      <c r="I44" t="s">
        <v>18</v>
      </c>
      <c r="J44">
        <v>980100</v>
      </c>
      <c r="K44" t="s">
        <v>19</v>
      </c>
      <c r="L44">
        <v>912670</v>
      </c>
      <c r="M44" t="s">
        <v>11</v>
      </c>
      <c r="N44">
        <v>312180</v>
      </c>
      <c r="O44" t="s">
        <v>20</v>
      </c>
      <c r="P44" t="s">
        <v>146</v>
      </c>
      <c r="Q44">
        <v>991</v>
      </c>
      <c r="R44" t="s">
        <v>22</v>
      </c>
      <c r="S44">
        <v>79.52</v>
      </c>
    </row>
    <row r="45" spans="1:19" x14ac:dyDescent="0.35">
      <c r="A45" t="s">
        <v>13</v>
      </c>
      <c r="B45">
        <v>45</v>
      </c>
      <c r="C45" t="s">
        <v>14</v>
      </c>
      <c r="D45" t="s">
        <v>147</v>
      </c>
      <c r="E45">
        <v>1035</v>
      </c>
      <c r="F45" t="s">
        <v>16</v>
      </c>
      <c r="G45" t="s">
        <v>148</v>
      </c>
      <c r="H45">
        <v>31395</v>
      </c>
      <c r="I45" t="s">
        <v>18</v>
      </c>
      <c r="J45">
        <v>1071225</v>
      </c>
      <c r="K45" t="s">
        <v>19</v>
      </c>
      <c r="L45">
        <v>1000215</v>
      </c>
      <c r="M45" t="s">
        <v>11</v>
      </c>
      <c r="N45">
        <v>341550</v>
      </c>
      <c r="O45" t="s">
        <v>20</v>
      </c>
      <c r="P45" t="s">
        <v>149</v>
      </c>
      <c r="Q45">
        <v>987</v>
      </c>
      <c r="R45" t="s">
        <v>22</v>
      </c>
      <c r="S45">
        <v>73.239999999999995</v>
      </c>
    </row>
    <row r="46" spans="1:19" x14ac:dyDescent="0.35">
      <c r="A46" t="s">
        <v>13</v>
      </c>
      <c r="B46">
        <v>46</v>
      </c>
      <c r="C46" t="s">
        <v>14</v>
      </c>
      <c r="D46" t="s">
        <v>150</v>
      </c>
      <c r="E46">
        <v>1081</v>
      </c>
      <c r="F46" t="s">
        <v>16</v>
      </c>
      <c r="G46" t="s">
        <v>151</v>
      </c>
      <c r="H46">
        <v>33511</v>
      </c>
      <c r="I46" t="s">
        <v>18</v>
      </c>
      <c r="J46">
        <v>1168561</v>
      </c>
      <c r="K46" t="s">
        <v>19</v>
      </c>
      <c r="L46">
        <v>1102114</v>
      </c>
      <c r="M46" t="s">
        <v>11</v>
      </c>
      <c r="N46">
        <v>372945</v>
      </c>
      <c r="O46" t="s">
        <v>20</v>
      </c>
      <c r="P46" t="s">
        <v>152</v>
      </c>
      <c r="Q46">
        <v>983</v>
      </c>
      <c r="R46" t="s">
        <v>22</v>
      </c>
      <c r="S46">
        <v>69.48</v>
      </c>
    </row>
    <row r="47" spans="1:19" x14ac:dyDescent="0.35">
      <c r="A47" t="s">
        <v>13</v>
      </c>
      <c r="B47">
        <v>47</v>
      </c>
      <c r="C47" t="s">
        <v>14</v>
      </c>
      <c r="D47" t="s">
        <v>153</v>
      </c>
      <c r="E47">
        <v>1128</v>
      </c>
      <c r="F47" t="s">
        <v>16</v>
      </c>
      <c r="G47" t="s">
        <v>154</v>
      </c>
      <c r="H47">
        <v>35720</v>
      </c>
      <c r="I47" t="s">
        <v>18</v>
      </c>
      <c r="J47">
        <v>1272384</v>
      </c>
      <c r="K47" t="s">
        <v>19</v>
      </c>
      <c r="L47">
        <v>1198829</v>
      </c>
      <c r="M47" t="s">
        <v>11</v>
      </c>
      <c r="N47">
        <v>406456</v>
      </c>
      <c r="O47" t="s">
        <v>20</v>
      </c>
      <c r="P47" t="s">
        <v>155</v>
      </c>
      <c r="Q47">
        <v>979</v>
      </c>
      <c r="R47" t="s">
        <v>22</v>
      </c>
      <c r="S47">
        <v>67.52</v>
      </c>
    </row>
    <row r="48" spans="1:19" x14ac:dyDescent="0.35">
      <c r="A48" t="s">
        <v>13</v>
      </c>
      <c r="B48">
        <v>48</v>
      </c>
      <c r="C48" t="s">
        <v>14</v>
      </c>
      <c r="D48" t="s">
        <v>156</v>
      </c>
      <c r="E48">
        <v>1176</v>
      </c>
      <c r="F48" t="s">
        <v>16</v>
      </c>
      <c r="G48" t="s">
        <v>157</v>
      </c>
      <c r="H48">
        <v>38024</v>
      </c>
      <c r="I48" t="s">
        <v>18</v>
      </c>
      <c r="J48">
        <v>1382976</v>
      </c>
      <c r="K48" t="s">
        <v>19</v>
      </c>
      <c r="L48">
        <v>1303152</v>
      </c>
      <c r="M48" t="s">
        <v>11</v>
      </c>
      <c r="N48">
        <v>442176</v>
      </c>
      <c r="O48" t="s">
        <v>20</v>
      </c>
      <c r="P48" t="s">
        <v>158</v>
      </c>
      <c r="Q48">
        <v>975</v>
      </c>
      <c r="R48" t="s">
        <v>22</v>
      </c>
      <c r="S48">
        <v>67.72</v>
      </c>
    </row>
    <row r="49" spans="1:19" x14ac:dyDescent="0.35">
      <c r="A49" t="s">
        <v>13</v>
      </c>
      <c r="B49">
        <v>49</v>
      </c>
      <c r="C49" t="s">
        <v>14</v>
      </c>
      <c r="D49" t="s">
        <v>159</v>
      </c>
      <c r="E49">
        <v>1225</v>
      </c>
      <c r="F49" t="s">
        <v>16</v>
      </c>
      <c r="G49" t="s">
        <v>160</v>
      </c>
      <c r="H49">
        <v>40425</v>
      </c>
      <c r="I49" t="s">
        <v>18</v>
      </c>
      <c r="J49">
        <v>1500625</v>
      </c>
      <c r="K49" t="s">
        <v>19</v>
      </c>
      <c r="L49">
        <v>1436631</v>
      </c>
      <c r="M49" t="s">
        <v>11</v>
      </c>
      <c r="N49">
        <v>480200</v>
      </c>
      <c r="O49" t="s">
        <v>20</v>
      </c>
      <c r="P49" t="s">
        <v>161</v>
      </c>
      <c r="Q49">
        <v>975</v>
      </c>
      <c r="R49" t="s">
        <v>22</v>
      </c>
      <c r="S49">
        <v>70.08</v>
      </c>
    </row>
    <row r="50" spans="1:19" x14ac:dyDescent="0.35">
      <c r="A50" t="s">
        <v>13</v>
      </c>
      <c r="B50">
        <v>50</v>
      </c>
      <c r="C50" t="s">
        <v>14</v>
      </c>
      <c r="D50" t="s">
        <v>162</v>
      </c>
      <c r="E50">
        <v>1275</v>
      </c>
      <c r="F50" t="s">
        <v>16</v>
      </c>
      <c r="G50" t="s">
        <v>163</v>
      </c>
      <c r="H50">
        <v>42925</v>
      </c>
      <c r="I50" t="s">
        <v>18</v>
      </c>
      <c r="J50">
        <v>1625625</v>
      </c>
      <c r="K50" t="s">
        <v>19</v>
      </c>
      <c r="L50">
        <v>1580575</v>
      </c>
      <c r="M50" t="s">
        <v>11</v>
      </c>
      <c r="N50">
        <v>520625</v>
      </c>
      <c r="O50" t="s">
        <v>20</v>
      </c>
      <c r="P50" t="s">
        <v>164</v>
      </c>
      <c r="Q50">
        <v>978</v>
      </c>
      <c r="R50" t="s">
        <v>22</v>
      </c>
      <c r="S50">
        <v>70.84</v>
      </c>
    </row>
    <row r="51" spans="1:19" x14ac:dyDescent="0.35">
      <c r="A51" t="s">
        <v>13</v>
      </c>
      <c r="B51">
        <v>51</v>
      </c>
      <c r="C51" t="s">
        <v>14</v>
      </c>
      <c r="D51" t="s">
        <v>165</v>
      </c>
      <c r="E51">
        <v>1326</v>
      </c>
      <c r="F51" t="s">
        <v>16</v>
      </c>
      <c r="G51" t="s">
        <v>166</v>
      </c>
      <c r="H51">
        <v>45526</v>
      </c>
      <c r="I51" t="s">
        <v>18</v>
      </c>
      <c r="J51">
        <v>1758276</v>
      </c>
      <c r="K51" t="s">
        <v>19</v>
      </c>
      <c r="L51">
        <v>1722729</v>
      </c>
      <c r="M51" t="s">
        <v>11</v>
      </c>
      <c r="N51">
        <v>563550</v>
      </c>
      <c r="O51" t="s">
        <v>20</v>
      </c>
      <c r="P51" t="s">
        <v>167</v>
      </c>
      <c r="Q51">
        <v>980</v>
      </c>
      <c r="R51" t="s">
        <v>22</v>
      </c>
      <c r="S51">
        <v>72.8</v>
      </c>
    </row>
    <row r="52" spans="1:19" x14ac:dyDescent="0.35">
      <c r="A52" t="s">
        <v>13</v>
      </c>
      <c r="B52">
        <v>52</v>
      </c>
      <c r="C52" t="s">
        <v>14</v>
      </c>
      <c r="D52" t="s">
        <v>168</v>
      </c>
      <c r="E52">
        <v>1378</v>
      </c>
      <c r="F52" t="s">
        <v>16</v>
      </c>
      <c r="G52" t="s">
        <v>169</v>
      </c>
      <c r="H52">
        <v>48230</v>
      </c>
      <c r="I52" t="s">
        <v>18</v>
      </c>
      <c r="J52">
        <v>1898884</v>
      </c>
      <c r="K52" t="s">
        <v>19</v>
      </c>
      <c r="L52">
        <v>1850654</v>
      </c>
      <c r="M52" t="s">
        <v>11</v>
      </c>
      <c r="N52">
        <v>609076</v>
      </c>
      <c r="O52" t="s">
        <v>20</v>
      </c>
      <c r="P52" t="s">
        <v>170</v>
      </c>
      <c r="Q52">
        <v>982</v>
      </c>
      <c r="R52" t="s">
        <v>22</v>
      </c>
      <c r="S52">
        <v>75</v>
      </c>
    </row>
    <row r="53" spans="1:19" x14ac:dyDescent="0.35">
      <c r="A53" t="s">
        <v>13</v>
      </c>
      <c r="B53">
        <v>53</v>
      </c>
      <c r="C53" t="s">
        <v>14</v>
      </c>
      <c r="D53" t="s">
        <v>171</v>
      </c>
      <c r="E53">
        <v>1431</v>
      </c>
      <c r="F53" t="s">
        <v>16</v>
      </c>
      <c r="G53" t="s">
        <v>172</v>
      </c>
      <c r="H53">
        <v>51039</v>
      </c>
      <c r="I53" t="s">
        <v>18</v>
      </c>
      <c r="J53">
        <v>2047761</v>
      </c>
      <c r="K53" t="s">
        <v>19</v>
      </c>
      <c r="L53">
        <v>2015272</v>
      </c>
      <c r="M53" t="s">
        <v>11</v>
      </c>
      <c r="N53">
        <v>657306</v>
      </c>
      <c r="O53" t="s">
        <v>20</v>
      </c>
      <c r="P53" t="s">
        <v>173</v>
      </c>
      <c r="Q53">
        <v>985</v>
      </c>
      <c r="R53" t="s">
        <v>22</v>
      </c>
      <c r="S53">
        <v>75.84</v>
      </c>
    </row>
    <row r="54" spans="1:19" x14ac:dyDescent="0.35">
      <c r="A54" t="s">
        <v>13</v>
      </c>
      <c r="B54">
        <v>54</v>
      </c>
      <c r="C54" t="s">
        <v>14</v>
      </c>
      <c r="D54" t="s">
        <v>174</v>
      </c>
      <c r="E54">
        <v>1485</v>
      </c>
      <c r="F54" t="s">
        <v>16</v>
      </c>
      <c r="G54" t="s">
        <v>175</v>
      </c>
      <c r="H54">
        <v>53955</v>
      </c>
      <c r="I54" t="s">
        <v>18</v>
      </c>
      <c r="J54">
        <v>2205225</v>
      </c>
      <c r="K54" t="s">
        <v>19</v>
      </c>
      <c r="L54">
        <v>2193345</v>
      </c>
      <c r="M54" t="s">
        <v>11</v>
      </c>
      <c r="N54">
        <v>708345</v>
      </c>
      <c r="O54" t="s">
        <v>20</v>
      </c>
      <c r="P54" t="s">
        <v>176</v>
      </c>
      <c r="Q54">
        <v>992</v>
      </c>
      <c r="R54" t="s">
        <v>22</v>
      </c>
      <c r="S54">
        <v>74.2</v>
      </c>
    </row>
    <row r="55" spans="1:19" x14ac:dyDescent="0.35">
      <c r="A55" t="s">
        <v>13</v>
      </c>
      <c r="B55">
        <v>55</v>
      </c>
      <c r="C55" t="s">
        <v>14</v>
      </c>
      <c r="D55" t="s">
        <v>177</v>
      </c>
      <c r="E55">
        <v>1540</v>
      </c>
      <c r="F55" t="s">
        <v>16</v>
      </c>
      <c r="G55" t="s">
        <v>178</v>
      </c>
      <c r="H55">
        <v>56980</v>
      </c>
      <c r="I55" t="s">
        <v>18</v>
      </c>
      <c r="J55">
        <v>2371600</v>
      </c>
      <c r="K55" t="s">
        <v>19</v>
      </c>
      <c r="L55">
        <v>2384030</v>
      </c>
      <c r="M55" t="s">
        <v>11</v>
      </c>
      <c r="N55">
        <v>762300</v>
      </c>
      <c r="O55" t="s">
        <v>20</v>
      </c>
      <c r="P55" t="s">
        <v>179</v>
      </c>
      <c r="Q55">
        <v>998</v>
      </c>
      <c r="R55" t="s">
        <v>22</v>
      </c>
      <c r="S55">
        <v>74.319999999999993</v>
      </c>
    </row>
    <row r="56" spans="1:19" x14ac:dyDescent="0.35">
      <c r="A56" t="s">
        <v>13</v>
      </c>
      <c r="B56">
        <v>56</v>
      </c>
      <c r="C56" t="s">
        <v>14</v>
      </c>
      <c r="D56" t="s">
        <v>180</v>
      </c>
      <c r="E56">
        <v>1596</v>
      </c>
      <c r="F56" t="s">
        <v>16</v>
      </c>
      <c r="G56" t="s">
        <v>181</v>
      </c>
      <c r="H56">
        <v>60116</v>
      </c>
      <c r="I56" t="s">
        <v>18</v>
      </c>
      <c r="J56">
        <v>2547216</v>
      </c>
      <c r="K56" t="s">
        <v>19</v>
      </c>
      <c r="L56">
        <v>2590952</v>
      </c>
      <c r="M56" t="s">
        <v>11</v>
      </c>
      <c r="N56">
        <v>819280</v>
      </c>
      <c r="O56" t="s">
        <v>20</v>
      </c>
      <c r="P56" t="s">
        <v>182</v>
      </c>
      <c r="Q56">
        <v>1003</v>
      </c>
      <c r="R56" t="s">
        <v>22</v>
      </c>
      <c r="S56">
        <v>76.319999999999993</v>
      </c>
    </row>
    <row r="57" spans="1:19" x14ac:dyDescent="0.35">
      <c r="A57" t="s">
        <v>13</v>
      </c>
      <c r="B57">
        <v>57</v>
      </c>
      <c r="C57" t="s">
        <v>14</v>
      </c>
      <c r="D57" t="s">
        <v>183</v>
      </c>
      <c r="E57">
        <v>1653</v>
      </c>
      <c r="F57" t="s">
        <v>16</v>
      </c>
      <c r="G57" t="s">
        <v>184</v>
      </c>
      <c r="H57">
        <v>63365</v>
      </c>
      <c r="I57" t="s">
        <v>18</v>
      </c>
      <c r="J57">
        <v>2732409</v>
      </c>
      <c r="K57" t="s">
        <v>19</v>
      </c>
      <c r="L57">
        <v>2800524</v>
      </c>
      <c r="M57" t="s">
        <v>11</v>
      </c>
      <c r="N57">
        <v>879396</v>
      </c>
      <c r="O57" t="s">
        <v>20</v>
      </c>
      <c r="P57" t="s">
        <v>185</v>
      </c>
      <c r="Q57">
        <v>1008</v>
      </c>
      <c r="R57" t="s">
        <v>22</v>
      </c>
      <c r="S57">
        <v>79</v>
      </c>
    </row>
    <row r="58" spans="1:19" x14ac:dyDescent="0.35">
      <c r="A58" t="s">
        <v>13</v>
      </c>
      <c r="B58">
        <v>58</v>
      </c>
      <c r="C58" t="s">
        <v>14</v>
      </c>
      <c r="D58" t="s">
        <v>186</v>
      </c>
      <c r="E58">
        <v>1711</v>
      </c>
      <c r="F58" t="s">
        <v>16</v>
      </c>
      <c r="G58" t="s">
        <v>187</v>
      </c>
      <c r="H58">
        <v>66729</v>
      </c>
      <c r="I58" t="s">
        <v>18</v>
      </c>
      <c r="J58">
        <v>2927521</v>
      </c>
      <c r="K58" t="s">
        <v>19</v>
      </c>
      <c r="L58">
        <v>2979460</v>
      </c>
      <c r="M58" t="s">
        <v>11</v>
      </c>
      <c r="N58">
        <v>942761</v>
      </c>
      <c r="O58" t="s">
        <v>20</v>
      </c>
      <c r="P58" t="s">
        <v>188</v>
      </c>
      <c r="Q58">
        <v>1016</v>
      </c>
      <c r="R58" t="s">
        <v>22</v>
      </c>
      <c r="S58">
        <v>78.8</v>
      </c>
    </row>
    <row r="59" spans="1:19" x14ac:dyDescent="0.35">
      <c r="A59" t="s">
        <v>13</v>
      </c>
      <c r="B59">
        <v>59</v>
      </c>
      <c r="C59" t="s">
        <v>14</v>
      </c>
      <c r="D59" t="s">
        <v>189</v>
      </c>
      <c r="E59">
        <v>1770</v>
      </c>
      <c r="F59" t="s">
        <v>16</v>
      </c>
      <c r="G59" t="s">
        <v>190</v>
      </c>
      <c r="H59">
        <v>70210</v>
      </c>
      <c r="I59" t="s">
        <v>18</v>
      </c>
      <c r="J59">
        <v>3132900</v>
      </c>
      <c r="K59" t="s">
        <v>19</v>
      </c>
      <c r="L59">
        <v>3188537</v>
      </c>
      <c r="M59" t="s">
        <v>11</v>
      </c>
      <c r="N59">
        <v>1009490</v>
      </c>
      <c r="O59" t="s">
        <v>20</v>
      </c>
      <c r="P59" t="s">
        <v>188</v>
      </c>
      <c r="Q59">
        <v>1023</v>
      </c>
      <c r="R59" t="s">
        <v>22</v>
      </c>
      <c r="S59">
        <v>79.239999999999995</v>
      </c>
    </row>
    <row r="60" spans="1:19" x14ac:dyDescent="0.35">
      <c r="A60" t="s">
        <v>13</v>
      </c>
      <c r="B60">
        <v>60</v>
      </c>
      <c r="C60" t="s">
        <v>14</v>
      </c>
      <c r="D60" t="s">
        <v>191</v>
      </c>
      <c r="E60">
        <v>1830</v>
      </c>
      <c r="F60" t="s">
        <v>16</v>
      </c>
      <c r="G60" t="s">
        <v>192</v>
      </c>
      <c r="H60">
        <v>73810</v>
      </c>
      <c r="I60" t="s">
        <v>18</v>
      </c>
      <c r="J60">
        <v>3348900</v>
      </c>
      <c r="K60" t="s">
        <v>19</v>
      </c>
      <c r="L60">
        <v>3434820</v>
      </c>
      <c r="M60" t="s">
        <v>11</v>
      </c>
      <c r="N60">
        <v>1079700</v>
      </c>
      <c r="O60" t="s">
        <v>20</v>
      </c>
      <c r="P60" t="s">
        <v>193</v>
      </c>
      <c r="Q60">
        <v>1029</v>
      </c>
      <c r="R60" t="s">
        <v>22</v>
      </c>
      <c r="S60">
        <v>81.12</v>
      </c>
    </row>
    <row r="61" spans="1:19" x14ac:dyDescent="0.35">
      <c r="A61" t="s">
        <v>13</v>
      </c>
      <c r="B61">
        <v>61</v>
      </c>
      <c r="C61" t="s">
        <v>14</v>
      </c>
      <c r="D61" t="s">
        <v>194</v>
      </c>
      <c r="E61">
        <v>1891</v>
      </c>
      <c r="F61" t="s">
        <v>16</v>
      </c>
      <c r="G61" t="s">
        <v>195</v>
      </c>
      <c r="H61">
        <v>77531</v>
      </c>
      <c r="I61" t="s">
        <v>18</v>
      </c>
      <c r="J61">
        <v>3575881</v>
      </c>
      <c r="K61" t="s">
        <v>19</v>
      </c>
      <c r="L61">
        <v>3693001</v>
      </c>
      <c r="M61" t="s">
        <v>11</v>
      </c>
      <c r="N61">
        <v>1153510</v>
      </c>
      <c r="O61" t="s">
        <v>20</v>
      </c>
      <c r="P61" t="s">
        <v>196</v>
      </c>
      <c r="Q61">
        <v>1036</v>
      </c>
      <c r="R61" t="s">
        <v>22</v>
      </c>
      <c r="S61">
        <v>83.12</v>
      </c>
    </row>
    <row r="62" spans="1:19" x14ac:dyDescent="0.35">
      <c r="A62" t="s">
        <v>13</v>
      </c>
      <c r="B62">
        <v>62</v>
      </c>
      <c r="C62" t="s">
        <v>14</v>
      </c>
      <c r="D62" t="s">
        <v>197</v>
      </c>
      <c r="E62">
        <v>1953</v>
      </c>
      <c r="F62" t="s">
        <v>16</v>
      </c>
      <c r="G62" t="s">
        <v>198</v>
      </c>
      <c r="H62">
        <v>81375</v>
      </c>
      <c r="I62" t="s">
        <v>18</v>
      </c>
      <c r="J62">
        <v>3814209</v>
      </c>
      <c r="K62" t="s">
        <v>19</v>
      </c>
      <c r="L62">
        <v>3927514</v>
      </c>
      <c r="M62" t="s">
        <v>11</v>
      </c>
      <c r="N62">
        <v>1231041</v>
      </c>
      <c r="O62" t="s">
        <v>20</v>
      </c>
      <c r="P62" t="s">
        <v>199</v>
      </c>
      <c r="Q62">
        <v>1043</v>
      </c>
      <c r="R62" t="s">
        <v>22</v>
      </c>
      <c r="S62">
        <v>84.96</v>
      </c>
    </row>
    <row r="63" spans="1:19" x14ac:dyDescent="0.35">
      <c r="A63" t="s">
        <v>13</v>
      </c>
      <c r="B63">
        <v>63</v>
      </c>
      <c r="C63" t="s">
        <v>14</v>
      </c>
      <c r="D63" t="s">
        <v>200</v>
      </c>
      <c r="E63">
        <v>2016</v>
      </c>
      <c r="F63" t="s">
        <v>16</v>
      </c>
      <c r="G63" t="s">
        <v>201</v>
      </c>
      <c r="H63">
        <v>85344</v>
      </c>
      <c r="I63" t="s">
        <v>18</v>
      </c>
      <c r="J63">
        <v>4064256</v>
      </c>
      <c r="K63" t="s">
        <v>19</v>
      </c>
      <c r="L63">
        <v>4155921</v>
      </c>
      <c r="M63" t="s">
        <v>11</v>
      </c>
      <c r="N63">
        <v>1312416</v>
      </c>
      <c r="O63" t="s">
        <v>20</v>
      </c>
      <c r="P63" t="s">
        <v>202</v>
      </c>
      <c r="Q63">
        <v>1048</v>
      </c>
      <c r="R63" t="s">
        <v>22</v>
      </c>
      <c r="S63">
        <v>87.8</v>
      </c>
    </row>
    <row r="64" spans="1:19" x14ac:dyDescent="0.35">
      <c r="A64" t="s">
        <v>13</v>
      </c>
      <c r="B64">
        <v>64</v>
      </c>
      <c r="C64" t="s">
        <v>14</v>
      </c>
      <c r="D64" t="s">
        <v>203</v>
      </c>
      <c r="E64">
        <v>2080</v>
      </c>
      <c r="F64" t="s">
        <v>16</v>
      </c>
      <c r="G64" t="s">
        <v>204</v>
      </c>
      <c r="H64">
        <v>89440</v>
      </c>
      <c r="I64" t="s">
        <v>18</v>
      </c>
      <c r="J64">
        <v>4326400</v>
      </c>
      <c r="K64" t="s">
        <v>19</v>
      </c>
      <c r="L64">
        <v>4452064</v>
      </c>
      <c r="M64" t="s">
        <v>11</v>
      </c>
      <c r="N64">
        <v>1397760</v>
      </c>
      <c r="O64" t="s">
        <v>20</v>
      </c>
      <c r="P64" t="s">
        <v>185</v>
      </c>
      <c r="Q64">
        <v>1054</v>
      </c>
      <c r="R64" t="s">
        <v>22</v>
      </c>
      <c r="S64">
        <v>91.4</v>
      </c>
    </row>
    <row r="65" spans="1:19" x14ac:dyDescent="0.35">
      <c r="A65" t="s">
        <v>13</v>
      </c>
      <c r="B65">
        <v>65</v>
      </c>
      <c r="C65" t="s">
        <v>14</v>
      </c>
      <c r="D65" t="s">
        <v>205</v>
      </c>
      <c r="E65">
        <v>2145</v>
      </c>
      <c r="F65" t="s">
        <v>16</v>
      </c>
      <c r="G65" t="s">
        <v>206</v>
      </c>
      <c r="H65">
        <v>93665</v>
      </c>
      <c r="I65" t="s">
        <v>18</v>
      </c>
      <c r="J65">
        <v>4601025</v>
      </c>
      <c r="K65" t="s">
        <v>19</v>
      </c>
      <c r="L65">
        <v>4765800</v>
      </c>
      <c r="M65" t="s">
        <v>11</v>
      </c>
      <c r="N65">
        <v>1487200</v>
      </c>
      <c r="O65" t="s">
        <v>20</v>
      </c>
      <c r="P65" t="s">
        <v>207</v>
      </c>
      <c r="Q65">
        <v>1059</v>
      </c>
      <c r="R65" t="s">
        <v>22</v>
      </c>
      <c r="S65">
        <v>94.56</v>
      </c>
    </row>
    <row r="66" spans="1:19" x14ac:dyDescent="0.35">
      <c r="A66" t="s">
        <v>13</v>
      </c>
      <c r="B66">
        <v>66</v>
      </c>
      <c r="C66" t="s">
        <v>14</v>
      </c>
      <c r="D66" t="s">
        <v>208</v>
      </c>
      <c r="E66">
        <v>2211</v>
      </c>
      <c r="F66" t="s">
        <v>16</v>
      </c>
      <c r="G66" t="s">
        <v>209</v>
      </c>
      <c r="H66">
        <v>98021</v>
      </c>
      <c r="I66" t="s">
        <v>18</v>
      </c>
      <c r="J66">
        <v>4888521</v>
      </c>
      <c r="K66" t="s">
        <v>19</v>
      </c>
      <c r="L66">
        <v>5093484</v>
      </c>
      <c r="M66" t="s">
        <v>11</v>
      </c>
      <c r="N66">
        <v>1580865</v>
      </c>
      <c r="O66" t="s">
        <v>20</v>
      </c>
      <c r="P66" t="s">
        <v>210</v>
      </c>
      <c r="Q66">
        <v>1065</v>
      </c>
      <c r="R66" t="s">
        <v>22</v>
      </c>
      <c r="S66">
        <v>97.72</v>
      </c>
    </row>
    <row r="67" spans="1:19" x14ac:dyDescent="0.35">
      <c r="A67" t="s">
        <v>13</v>
      </c>
      <c r="B67">
        <v>67</v>
      </c>
      <c r="C67" t="s">
        <v>14</v>
      </c>
      <c r="D67" t="s">
        <v>211</v>
      </c>
      <c r="E67">
        <v>2278</v>
      </c>
      <c r="F67" t="s">
        <v>16</v>
      </c>
      <c r="G67" t="s">
        <v>212</v>
      </c>
      <c r="H67">
        <v>102510</v>
      </c>
      <c r="I67" t="s">
        <v>18</v>
      </c>
      <c r="J67">
        <v>5189284</v>
      </c>
      <c r="K67" t="s">
        <v>19</v>
      </c>
      <c r="L67">
        <v>5435509</v>
      </c>
      <c r="M67" t="s">
        <v>11</v>
      </c>
      <c r="N67">
        <v>1678886</v>
      </c>
      <c r="O67" t="s">
        <v>20</v>
      </c>
      <c r="P67" t="s">
        <v>213</v>
      </c>
      <c r="Q67">
        <v>1070</v>
      </c>
      <c r="R67" t="s">
        <v>22</v>
      </c>
      <c r="S67">
        <v>100</v>
      </c>
    </row>
    <row r="68" spans="1:19" x14ac:dyDescent="0.35">
      <c r="A68" t="s">
        <v>13</v>
      </c>
      <c r="B68">
        <v>68</v>
      </c>
      <c r="C68" t="s">
        <v>14</v>
      </c>
      <c r="D68" t="s">
        <v>214</v>
      </c>
      <c r="E68">
        <v>2346</v>
      </c>
      <c r="F68" t="s">
        <v>16</v>
      </c>
      <c r="G68" t="s">
        <v>215</v>
      </c>
      <c r="H68">
        <v>107134</v>
      </c>
      <c r="I68" t="s">
        <v>18</v>
      </c>
      <c r="J68">
        <v>5503716</v>
      </c>
      <c r="K68" t="s">
        <v>19</v>
      </c>
      <c r="L68">
        <v>5780884</v>
      </c>
      <c r="M68" t="s">
        <v>11</v>
      </c>
      <c r="N68">
        <v>1781396</v>
      </c>
      <c r="O68" t="s">
        <v>20</v>
      </c>
      <c r="P68" t="s">
        <v>216</v>
      </c>
      <c r="Q68">
        <v>1075</v>
      </c>
      <c r="R68" t="s">
        <v>22</v>
      </c>
      <c r="S68">
        <v>101.28</v>
      </c>
    </row>
    <row r="69" spans="1:19" x14ac:dyDescent="0.35">
      <c r="A69" t="s">
        <v>13</v>
      </c>
      <c r="B69">
        <v>69</v>
      </c>
      <c r="C69" t="s">
        <v>14</v>
      </c>
      <c r="D69" t="s">
        <v>217</v>
      </c>
      <c r="E69">
        <v>2415</v>
      </c>
      <c r="F69" t="s">
        <v>16</v>
      </c>
      <c r="G69" t="s">
        <v>218</v>
      </c>
      <c r="H69">
        <v>111895</v>
      </c>
      <c r="I69" t="s">
        <v>18</v>
      </c>
      <c r="J69">
        <v>5832225</v>
      </c>
      <c r="K69" t="s">
        <v>19</v>
      </c>
      <c r="L69">
        <v>6150453</v>
      </c>
      <c r="M69" t="s">
        <v>11</v>
      </c>
      <c r="N69">
        <v>1888530</v>
      </c>
      <c r="O69" t="s">
        <v>20</v>
      </c>
      <c r="P69" t="s">
        <v>72</v>
      </c>
      <c r="Q69">
        <v>1079</v>
      </c>
      <c r="R69" t="s">
        <v>22</v>
      </c>
      <c r="S69">
        <v>102.32</v>
      </c>
    </row>
    <row r="70" spans="1:19" x14ac:dyDescent="0.35">
      <c r="A70" t="s">
        <v>13</v>
      </c>
      <c r="B70">
        <v>70</v>
      </c>
      <c r="C70" t="s">
        <v>14</v>
      </c>
      <c r="D70" t="s">
        <v>219</v>
      </c>
      <c r="E70">
        <v>2485</v>
      </c>
      <c r="F70" t="s">
        <v>16</v>
      </c>
      <c r="G70" t="s">
        <v>220</v>
      </c>
      <c r="H70">
        <v>116795</v>
      </c>
      <c r="I70" t="s">
        <v>18</v>
      </c>
      <c r="J70">
        <v>6175225</v>
      </c>
      <c r="K70" t="s">
        <v>19</v>
      </c>
      <c r="L70">
        <v>6487215</v>
      </c>
      <c r="M70" t="s">
        <v>11</v>
      </c>
      <c r="N70">
        <v>2000425</v>
      </c>
      <c r="O70" t="s">
        <v>20</v>
      </c>
      <c r="P70" t="s">
        <v>221</v>
      </c>
      <c r="Q70">
        <v>1083</v>
      </c>
      <c r="R70" t="s">
        <v>22</v>
      </c>
      <c r="S70">
        <v>102.48</v>
      </c>
    </row>
    <row r="71" spans="1:19" x14ac:dyDescent="0.35">
      <c r="A71" t="s">
        <v>13</v>
      </c>
      <c r="B71">
        <v>71</v>
      </c>
      <c r="C71" t="s">
        <v>14</v>
      </c>
      <c r="D71" t="s">
        <v>222</v>
      </c>
      <c r="E71">
        <v>2556</v>
      </c>
      <c r="F71" t="s">
        <v>16</v>
      </c>
      <c r="G71" t="s">
        <v>223</v>
      </c>
      <c r="H71">
        <v>121836</v>
      </c>
      <c r="I71" t="s">
        <v>18</v>
      </c>
      <c r="J71">
        <v>6533136</v>
      </c>
      <c r="K71" t="s">
        <v>19</v>
      </c>
      <c r="L71">
        <v>6855902</v>
      </c>
      <c r="M71" t="s">
        <v>11</v>
      </c>
      <c r="N71">
        <v>2117220</v>
      </c>
      <c r="O71" t="s">
        <v>20</v>
      </c>
      <c r="P71" t="s">
        <v>213</v>
      </c>
      <c r="Q71">
        <v>1088</v>
      </c>
      <c r="R71" t="s">
        <v>22</v>
      </c>
      <c r="S71">
        <v>102.28</v>
      </c>
    </row>
    <row r="72" spans="1:19" x14ac:dyDescent="0.35">
      <c r="A72" t="s">
        <v>13</v>
      </c>
      <c r="B72">
        <v>72</v>
      </c>
      <c r="C72" t="s">
        <v>14</v>
      </c>
      <c r="D72" t="s">
        <v>224</v>
      </c>
      <c r="E72">
        <v>2628</v>
      </c>
      <c r="F72" t="s">
        <v>16</v>
      </c>
      <c r="G72" t="s">
        <v>225</v>
      </c>
      <c r="H72">
        <v>127020</v>
      </c>
      <c r="I72" t="s">
        <v>18</v>
      </c>
      <c r="J72">
        <v>6906384</v>
      </c>
      <c r="K72" t="s">
        <v>19</v>
      </c>
      <c r="L72">
        <v>7280928</v>
      </c>
      <c r="M72" t="s">
        <v>11</v>
      </c>
      <c r="N72">
        <v>2239056</v>
      </c>
      <c r="O72" t="s">
        <v>20</v>
      </c>
      <c r="P72" t="s">
        <v>226</v>
      </c>
      <c r="Q72">
        <v>1092</v>
      </c>
      <c r="R72" t="s">
        <v>22</v>
      </c>
      <c r="S72">
        <v>102</v>
      </c>
    </row>
    <row r="73" spans="1:19" x14ac:dyDescent="0.35">
      <c r="A73" t="s">
        <v>13</v>
      </c>
      <c r="B73">
        <v>73</v>
      </c>
      <c r="C73" t="s">
        <v>14</v>
      </c>
      <c r="D73" t="s">
        <v>227</v>
      </c>
      <c r="E73">
        <v>2701</v>
      </c>
      <c r="F73" t="s">
        <v>16</v>
      </c>
      <c r="G73" t="s">
        <v>228</v>
      </c>
      <c r="H73">
        <v>132349</v>
      </c>
      <c r="I73" t="s">
        <v>18</v>
      </c>
      <c r="J73">
        <v>7295401</v>
      </c>
      <c r="K73" t="s">
        <v>19</v>
      </c>
      <c r="L73">
        <v>7728218</v>
      </c>
      <c r="M73" t="s">
        <v>11</v>
      </c>
      <c r="N73">
        <v>2366076</v>
      </c>
      <c r="O73" t="s">
        <v>20</v>
      </c>
      <c r="P73" t="s">
        <v>229</v>
      </c>
      <c r="Q73">
        <v>1096</v>
      </c>
      <c r="R73" t="s">
        <v>22</v>
      </c>
      <c r="S73">
        <v>101.08</v>
      </c>
    </row>
    <row r="74" spans="1:19" x14ac:dyDescent="0.35">
      <c r="A74" t="s">
        <v>13</v>
      </c>
      <c r="B74">
        <v>74</v>
      </c>
      <c r="C74" t="s">
        <v>14</v>
      </c>
      <c r="D74" t="s">
        <v>230</v>
      </c>
      <c r="E74">
        <v>2775</v>
      </c>
      <c r="F74" t="s">
        <v>16</v>
      </c>
      <c r="G74" t="s">
        <v>231</v>
      </c>
      <c r="H74">
        <v>137825</v>
      </c>
      <c r="I74" t="s">
        <v>18</v>
      </c>
      <c r="J74">
        <v>7700625</v>
      </c>
      <c r="K74" t="s">
        <v>19</v>
      </c>
      <c r="L74">
        <v>8155281</v>
      </c>
      <c r="M74" t="s">
        <v>11</v>
      </c>
      <c r="N74">
        <v>2498425</v>
      </c>
      <c r="O74" t="s">
        <v>20</v>
      </c>
      <c r="P74" t="s">
        <v>229</v>
      </c>
      <c r="Q74">
        <v>1099</v>
      </c>
      <c r="R74" t="s">
        <v>22</v>
      </c>
      <c r="S74">
        <v>99.56</v>
      </c>
    </row>
    <row r="75" spans="1:19" x14ac:dyDescent="0.35">
      <c r="A75" t="s">
        <v>13</v>
      </c>
      <c r="B75">
        <v>75</v>
      </c>
      <c r="C75" t="s">
        <v>14</v>
      </c>
      <c r="D75" t="s">
        <v>232</v>
      </c>
      <c r="E75">
        <v>2850</v>
      </c>
      <c r="F75" t="s">
        <v>16</v>
      </c>
      <c r="G75" t="s">
        <v>233</v>
      </c>
      <c r="H75">
        <v>143450</v>
      </c>
      <c r="I75" t="s">
        <v>18</v>
      </c>
      <c r="J75">
        <v>8122500</v>
      </c>
      <c r="K75" t="s">
        <v>19</v>
      </c>
      <c r="L75">
        <v>8563275</v>
      </c>
      <c r="M75" t="s">
        <v>11</v>
      </c>
      <c r="N75">
        <v>2636250</v>
      </c>
      <c r="O75" t="s">
        <v>20</v>
      </c>
      <c r="P75" t="s">
        <v>78</v>
      </c>
      <c r="Q75">
        <v>1102</v>
      </c>
      <c r="R75" t="s">
        <v>22</v>
      </c>
      <c r="S75">
        <v>97.44</v>
      </c>
    </row>
    <row r="76" spans="1:19" x14ac:dyDescent="0.35">
      <c r="A76" t="s">
        <v>13</v>
      </c>
      <c r="B76">
        <v>76</v>
      </c>
      <c r="C76" t="s">
        <v>14</v>
      </c>
      <c r="D76" t="s">
        <v>234</v>
      </c>
      <c r="E76">
        <v>2926</v>
      </c>
      <c r="F76" t="s">
        <v>16</v>
      </c>
      <c r="G76" t="s">
        <v>235</v>
      </c>
      <c r="H76">
        <v>149226</v>
      </c>
      <c r="I76" t="s">
        <v>18</v>
      </c>
      <c r="J76">
        <v>8561476</v>
      </c>
      <c r="K76" t="s">
        <v>19</v>
      </c>
      <c r="L76">
        <v>9047610</v>
      </c>
      <c r="M76" t="s">
        <v>11</v>
      </c>
      <c r="N76">
        <v>2779700</v>
      </c>
      <c r="O76" t="s">
        <v>20</v>
      </c>
      <c r="P76" t="s">
        <v>236</v>
      </c>
      <c r="Q76">
        <v>1105</v>
      </c>
      <c r="R76" t="s">
        <v>22</v>
      </c>
      <c r="S76">
        <v>95.64</v>
      </c>
    </row>
    <row r="77" spans="1:19" x14ac:dyDescent="0.35">
      <c r="A77" t="s">
        <v>13</v>
      </c>
      <c r="B77">
        <v>77</v>
      </c>
      <c r="C77" t="s">
        <v>14</v>
      </c>
      <c r="D77" t="s">
        <v>237</v>
      </c>
      <c r="E77">
        <v>3003</v>
      </c>
      <c r="F77" t="s">
        <v>16</v>
      </c>
      <c r="G77" t="s">
        <v>238</v>
      </c>
      <c r="H77">
        <v>155155</v>
      </c>
      <c r="I77" t="s">
        <v>18</v>
      </c>
      <c r="J77">
        <v>9018009</v>
      </c>
      <c r="K77" t="s">
        <v>19</v>
      </c>
      <c r="L77">
        <v>9568020</v>
      </c>
      <c r="M77" t="s">
        <v>11</v>
      </c>
      <c r="N77">
        <v>2928926</v>
      </c>
      <c r="O77" t="s">
        <v>20</v>
      </c>
      <c r="P77" t="s">
        <v>239</v>
      </c>
      <c r="Q77">
        <v>1108</v>
      </c>
      <c r="R77" t="s">
        <v>22</v>
      </c>
      <c r="S77">
        <v>93.64</v>
      </c>
    </row>
    <row r="78" spans="1:19" x14ac:dyDescent="0.35">
      <c r="A78" t="s">
        <v>13</v>
      </c>
      <c r="B78">
        <v>78</v>
      </c>
      <c r="C78" t="s">
        <v>14</v>
      </c>
      <c r="D78" t="s">
        <v>240</v>
      </c>
      <c r="E78">
        <v>3081</v>
      </c>
      <c r="F78" t="s">
        <v>16</v>
      </c>
      <c r="G78" t="s">
        <v>241</v>
      </c>
      <c r="H78">
        <v>161239</v>
      </c>
      <c r="I78" t="s">
        <v>18</v>
      </c>
      <c r="J78">
        <v>9492561</v>
      </c>
      <c r="K78" t="s">
        <v>19</v>
      </c>
      <c r="L78">
        <v>10113870</v>
      </c>
      <c r="M78" t="s">
        <v>11</v>
      </c>
      <c r="N78">
        <v>3084081</v>
      </c>
      <c r="O78" t="s">
        <v>20</v>
      </c>
      <c r="P78" t="s">
        <v>242</v>
      </c>
      <c r="Q78">
        <v>1111</v>
      </c>
      <c r="R78" t="s">
        <v>22</v>
      </c>
      <c r="S78">
        <v>91.52</v>
      </c>
    </row>
    <row r="79" spans="1:19" x14ac:dyDescent="0.35">
      <c r="A79" t="s">
        <v>13</v>
      </c>
      <c r="B79">
        <v>79</v>
      </c>
      <c r="C79" t="s">
        <v>14</v>
      </c>
      <c r="D79" t="s">
        <v>243</v>
      </c>
      <c r="E79">
        <v>3160</v>
      </c>
      <c r="F79" t="s">
        <v>16</v>
      </c>
      <c r="G79" t="s">
        <v>244</v>
      </c>
      <c r="H79">
        <v>167480</v>
      </c>
      <c r="I79" t="s">
        <v>18</v>
      </c>
      <c r="J79">
        <v>9985600</v>
      </c>
      <c r="K79" t="s">
        <v>19</v>
      </c>
      <c r="L79">
        <v>10682854</v>
      </c>
      <c r="M79" t="s">
        <v>11</v>
      </c>
      <c r="N79">
        <v>3245320</v>
      </c>
      <c r="O79" t="s">
        <v>20</v>
      </c>
      <c r="P79" t="s">
        <v>245</v>
      </c>
      <c r="Q79">
        <v>1113</v>
      </c>
      <c r="R79" t="s">
        <v>22</v>
      </c>
      <c r="S79">
        <v>89.32</v>
      </c>
    </row>
    <row r="80" spans="1:19" x14ac:dyDescent="0.35">
      <c r="A80" t="s">
        <v>13</v>
      </c>
      <c r="B80">
        <v>80</v>
      </c>
      <c r="C80" t="s">
        <v>14</v>
      </c>
      <c r="D80" t="s">
        <v>246</v>
      </c>
      <c r="E80">
        <v>3240</v>
      </c>
      <c r="F80" t="s">
        <v>16</v>
      </c>
      <c r="G80" t="s">
        <v>247</v>
      </c>
      <c r="H80">
        <v>173880</v>
      </c>
      <c r="I80" t="s">
        <v>18</v>
      </c>
      <c r="J80">
        <v>10497600</v>
      </c>
      <c r="K80" t="s">
        <v>19</v>
      </c>
      <c r="L80">
        <v>11272440</v>
      </c>
      <c r="M80" t="s">
        <v>11</v>
      </c>
      <c r="N80">
        <v>3412800</v>
      </c>
      <c r="O80" t="s">
        <v>20</v>
      </c>
      <c r="P80" t="s">
        <v>248</v>
      </c>
      <c r="Q80">
        <v>1115</v>
      </c>
      <c r="R80" t="s">
        <v>22</v>
      </c>
      <c r="S80">
        <v>86.88</v>
      </c>
    </row>
    <row r="81" spans="1:19" x14ac:dyDescent="0.35">
      <c r="A81" t="s">
        <v>13</v>
      </c>
      <c r="B81">
        <v>81</v>
      </c>
      <c r="C81" t="s">
        <v>14</v>
      </c>
      <c r="D81" t="s">
        <v>249</v>
      </c>
      <c r="E81">
        <v>3321</v>
      </c>
      <c r="F81" t="s">
        <v>16</v>
      </c>
      <c r="G81" t="s">
        <v>250</v>
      </c>
      <c r="H81">
        <v>180441</v>
      </c>
      <c r="I81" t="s">
        <v>18</v>
      </c>
      <c r="J81">
        <v>11029041</v>
      </c>
      <c r="K81" t="s">
        <v>19</v>
      </c>
      <c r="L81">
        <v>11886345</v>
      </c>
      <c r="M81" t="s">
        <v>11</v>
      </c>
      <c r="N81">
        <v>3586680</v>
      </c>
      <c r="O81" t="s">
        <v>20</v>
      </c>
      <c r="P81" t="s">
        <v>251</v>
      </c>
      <c r="Q81">
        <v>1117</v>
      </c>
      <c r="R81" t="s">
        <v>22</v>
      </c>
      <c r="S81">
        <v>84.4</v>
      </c>
    </row>
    <row r="82" spans="1:19" x14ac:dyDescent="0.35">
      <c r="A82" t="s">
        <v>13</v>
      </c>
      <c r="B82">
        <v>82</v>
      </c>
      <c r="C82" t="s">
        <v>14</v>
      </c>
      <c r="D82" t="s">
        <v>252</v>
      </c>
      <c r="E82">
        <v>3403</v>
      </c>
      <c r="F82" t="s">
        <v>16</v>
      </c>
      <c r="G82" t="s">
        <v>253</v>
      </c>
      <c r="H82">
        <v>187165</v>
      </c>
      <c r="I82" t="s">
        <v>18</v>
      </c>
      <c r="J82">
        <v>11580409</v>
      </c>
      <c r="K82" t="s">
        <v>19</v>
      </c>
      <c r="L82">
        <v>12518571</v>
      </c>
      <c r="M82" t="s">
        <v>11</v>
      </c>
      <c r="N82">
        <v>3767121</v>
      </c>
      <c r="O82" t="s">
        <v>20</v>
      </c>
      <c r="P82" t="s">
        <v>254</v>
      </c>
      <c r="Q82">
        <v>1119</v>
      </c>
      <c r="R82" t="s">
        <v>22</v>
      </c>
      <c r="S82">
        <v>82.64</v>
      </c>
    </row>
    <row r="83" spans="1:19" x14ac:dyDescent="0.35">
      <c r="A83" t="s">
        <v>13</v>
      </c>
      <c r="B83">
        <v>83</v>
      </c>
      <c r="C83" t="s">
        <v>14</v>
      </c>
      <c r="D83" t="s">
        <v>255</v>
      </c>
      <c r="E83">
        <v>3486</v>
      </c>
      <c r="F83" t="s">
        <v>16</v>
      </c>
      <c r="G83" t="s">
        <v>256</v>
      </c>
      <c r="H83">
        <v>194054</v>
      </c>
      <c r="I83" t="s">
        <v>18</v>
      </c>
      <c r="J83">
        <v>12152196</v>
      </c>
      <c r="K83" t="s">
        <v>19</v>
      </c>
      <c r="L83">
        <v>13172847</v>
      </c>
      <c r="M83" t="s">
        <v>11</v>
      </c>
      <c r="N83">
        <v>3954286</v>
      </c>
      <c r="O83" t="s">
        <v>20</v>
      </c>
      <c r="P83" t="s">
        <v>257</v>
      </c>
      <c r="Q83">
        <v>1122</v>
      </c>
      <c r="R83" t="s">
        <v>22</v>
      </c>
      <c r="S83">
        <v>81.16</v>
      </c>
    </row>
    <row r="84" spans="1:19" x14ac:dyDescent="0.35">
      <c r="A84" t="s">
        <v>13</v>
      </c>
      <c r="B84">
        <v>84</v>
      </c>
      <c r="C84" t="s">
        <v>14</v>
      </c>
      <c r="D84" t="s">
        <v>258</v>
      </c>
      <c r="E84">
        <v>3570</v>
      </c>
      <c r="F84" t="s">
        <v>16</v>
      </c>
      <c r="G84" t="s">
        <v>259</v>
      </c>
      <c r="H84">
        <v>201110</v>
      </c>
      <c r="I84" t="s">
        <v>18</v>
      </c>
      <c r="J84">
        <v>12744900</v>
      </c>
      <c r="K84" t="s">
        <v>19</v>
      </c>
      <c r="L84">
        <v>13846182</v>
      </c>
      <c r="M84" t="s">
        <v>11</v>
      </c>
      <c r="N84">
        <v>4148340</v>
      </c>
      <c r="O84" t="s">
        <v>20</v>
      </c>
      <c r="P84" t="s">
        <v>260</v>
      </c>
      <c r="Q84">
        <v>1124</v>
      </c>
      <c r="R84" t="s">
        <v>22</v>
      </c>
      <c r="S84">
        <v>79.599999999999994</v>
      </c>
    </row>
    <row r="85" spans="1:19" x14ac:dyDescent="0.35">
      <c r="A85" t="s">
        <v>13</v>
      </c>
      <c r="B85">
        <v>85</v>
      </c>
      <c r="C85" t="s">
        <v>14</v>
      </c>
      <c r="D85" t="s">
        <v>261</v>
      </c>
      <c r="E85">
        <v>3655</v>
      </c>
      <c r="F85" t="s">
        <v>16</v>
      </c>
      <c r="G85" t="s">
        <v>262</v>
      </c>
      <c r="H85">
        <v>208335</v>
      </c>
      <c r="I85" t="s">
        <v>18</v>
      </c>
      <c r="J85">
        <v>13359025</v>
      </c>
      <c r="K85" t="s">
        <v>19</v>
      </c>
      <c r="L85">
        <v>14538910</v>
      </c>
      <c r="M85" t="s">
        <v>11</v>
      </c>
      <c r="N85">
        <v>4349450</v>
      </c>
      <c r="O85" t="s">
        <v>20</v>
      </c>
      <c r="P85" t="s">
        <v>263</v>
      </c>
      <c r="Q85">
        <v>1126</v>
      </c>
      <c r="R85" t="s">
        <v>22</v>
      </c>
      <c r="S85">
        <v>78.040000000000006</v>
      </c>
    </row>
    <row r="86" spans="1:19" x14ac:dyDescent="0.35">
      <c r="A86" t="s">
        <v>13</v>
      </c>
      <c r="B86">
        <v>86</v>
      </c>
      <c r="C86" t="s">
        <v>14</v>
      </c>
      <c r="D86" t="s">
        <v>264</v>
      </c>
      <c r="E86">
        <v>3741</v>
      </c>
      <c r="F86" t="s">
        <v>16</v>
      </c>
      <c r="G86" t="s">
        <v>265</v>
      </c>
      <c r="H86">
        <v>215731</v>
      </c>
      <c r="I86" t="s">
        <v>18</v>
      </c>
      <c r="J86">
        <v>13995081</v>
      </c>
      <c r="K86" t="s">
        <v>19</v>
      </c>
      <c r="L86">
        <v>15258679</v>
      </c>
      <c r="M86" t="s">
        <v>11</v>
      </c>
      <c r="N86">
        <v>4557785</v>
      </c>
      <c r="O86" t="s">
        <v>20</v>
      </c>
      <c r="P86" t="s">
        <v>266</v>
      </c>
      <c r="Q86">
        <v>1128</v>
      </c>
      <c r="R86" t="s">
        <v>22</v>
      </c>
      <c r="S86">
        <v>76.92</v>
      </c>
    </row>
    <row r="87" spans="1:19" x14ac:dyDescent="0.35">
      <c r="A87" t="s">
        <v>13</v>
      </c>
      <c r="B87">
        <v>87</v>
      </c>
      <c r="C87" t="s">
        <v>14</v>
      </c>
      <c r="D87" t="s">
        <v>267</v>
      </c>
      <c r="E87">
        <v>3828</v>
      </c>
      <c r="F87" t="s">
        <v>16</v>
      </c>
      <c r="G87" t="s">
        <v>268</v>
      </c>
      <c r="H87">
        <v>223300</v>
      </c>
      <c r="I87" t="s">
        <v>18</v>
      </c>
      <c r="J87">
        <v>14653584</v>
      </c>
      <c r="K87" t="s">
        <v>19</v>
      </c>
      <c r="L87">
        <v>15942576</v>
      </c>
      <c r="M87" t="s">
        <v>11</v>
      </c>
      <c r="N87">
        <v>4773516</v>
      </c>
      <c r="O87" t="s">
        <v>20</v>
      </c>
      <c r="P87" t="s">
        <v>269</v>
      </c>
      <c r="Q87">
        <v>1131</v>
      </c>
      <c r="R87" t="s">
        <v>22</v>
      </c>
      <c r="S87">
        <v>76.12</v>
      </c>
    </row>
    <row r="88" spans="1:19" x14ac:dyDescent="0.35">
      <c r="A88" t="s">
        <v>13</v>
      </c>
      <c r="B88">
        <v>88</v>
      </c>
      <c r="C88" t="s">
        <v>14</v>
      </c>
      <c r="D88" t="s">
        <v>270</v>
      </c>
      <c r="E88">
        <v>3916</v>
      </c>
      <c r="F88" t="s">
        <v>16</v>
      </c>
      <c r="G88" t="s">
        <v>271</v>
      </c>
      <c r="H88">
        <v>231044</v>
      </c>
      <c r="I88" t="s">
        <v>18</v>
      </c>
      <c r="J88">
        <v>15335056</v>
      </c>
      <c r="K88" t="s">
        <v>19</v>
      </c>
      <c r="L88">
        <v>16599836</v>
      </c>
      <c r="M88" t="s">
        <v>11</v>
      </c>
      <c r="N88">
        <v>4996816</v>
      </c>
      <c r="O88" t="s">
        <v>20</v>
      </c>
      <c r="P88" t="s">
        <v>272</v>
      </c>
      <c r="Q88">
        <v>1133</v>
      </c>
      <c r="R88" t="s">
        <v>22</v>
      </c>
      <c r="S88">
        <v>74.92</v>
      </c>
    </row>
    <row r="89" spans="1:19" x14ac:dyDescent="0.35">
      <c r="A89" t="s">
        <v>13</v>
      </c>
      <c r="B89">
        <v>89</v>
      </c>
      <c r="C89" t="s">
        <v>14</v>
      </c>
      <c r="D89" t="s">
        <v>273</v>
      </c>
      <c r="E89">
        <v>4005</v>
      </c>
      <c r="F89" t="s">
        <v>16</v>
      </c>
      <c r="G89" t="s">
        <v>274</v>
      </c>
      <c r="H89">
        <v>238965</v>
      </c>
      <c r="I89" t="s">
        <v>18</v>
      </c>
      <c r="J89">
        <v>16040025</v>
      </c>
      <c r="K89" t="s">
        <v>19</v>
      </c>
      <c r="L89">
        <v>17373601</v>
      </c>
      <c r="M89" t="s">
        <v>11</v>
      </c>
      <c r="N89">
        <v>5227860</v>
      </c>
      <c r="O89" t="s">
        <v>20</v>
      </c>
      <c r="P89" t="s">
        <v>254</v>
      </c>
      <c r="Q89">
        <v>1135</v>
      </c>
      <c r="R89" t="s">
        <v>22</v>
      </c>
      <c r="S89">
        <v>73.599999999999994</v>
      </c>
    </row>
    <row r="90" spans="1:19" x14ac:dyDescent="0.35">
      <c r="A90" t="s">
        <v>13</v>
      </c>
      <c r="B90">
        <v>90</v>
      </c>
      <c r="C90" t="s">
        <v>14</v>
      </c>
      <c r="D90" t="s">
        <v>275</v>
      </c>
      <c r="E90">
        <v>4095</v>
      </c>
      <c r="F90" t="s">
        <v>16</v>
      </c>
      <c r="G90" t="s">
        <v>276</v>
      </c>
      <c r="H90">
        <v>247065</v>
      </c>
      <c r="I90" t="s">
        <v>18</v>
      </c>
      <c r="J90">
        <v>16769025</v>
      </c>
      <c r="K90" t="s">
        <v>19</v>
      </c>
      <c r="L90">
        <v>18184545</v>
      </c>
      <c r="M90" t="s">
        <v>11</v>
      </c>
      <c r="N90">
        <v>5466825</v>
      </c>
      <c r="O90" t="s">
        <v>20</v>
      </c>
      <c r="P90" t="s">
        <v>277</v>
      </c>
      <c r="Q90">
        <v>1136</v>
      </c>
      <c r="R90" t="s">
        <v>22</v>
      </c>
      <c r="S90">
        <v>72.28</v>
      </c>
    </row>
    <row r="91" spans="1:19" x14ac:dyDescent="0.35">
      <c r="A91" t="s">
        <v>13</v>
      </c>
      <c r="B91">
        <v>91</v>
      </c>
      <c r="C91" t="s">
        <v>14</v>
      </c>
      <c r="D91" t="s">
        <v>278</v>
      </c>
      <c r="E91">
        <v>4186</v>
      </c>
      <c r="F91" t="s">
        <v>16</v>
      </c>
      <c r="G91" t="s">
        <v>279</v>
      </c>
      <c r="H91">
        <v>255346</v>
      </c>
      <c r="I91" t="s">
        <v>18</v>
      </c>
      <c r="J91">
        <v>17522596</v>
      </c>
      <c r="K91" t="s">
        <v>19</v>
      </c>
      <c r="L91">
        <v>18943652</v>
      </c>
      <c r="M91" t="s">
        <v>11</v>
      </c>
      <c r="N91">
        <v>5713890</v>
      </c>
      <c r="O91" t="s">
        <v>20</v>
      </c>
      <c r="P91" t="s">
        <v>251</v>
      </c>
      <c r="Q91">
        <v>1137</v>
      </c>
      <c r="R91" t="s">
        <v>22</v>
      </c>
      <c r="S91">
        <v>70.72</v>
      </c>
    </row>
    <row r="92" spans="1:19" x14ac:dyDescent="0.35">
      <c r="A92" t="s">
        <v>13</v>
      </c>
      <c r="B92">
        <v>92</v>
      </c>
      <c r="C92" t="s">
        <v>14</v>
      </c>
      <c r="D92" t="s">
        <v>280</v>
      </c>
      <c r="E92">
        <v>4278</v>
      </c>
      <c r="F92" t="s">
        <v>16</v>
      </c>
      <c r="G92" t="s">
        <v>281</v>
      </c>
      <c r="H92">
        <v>263810</v>
      </c>
      <c r="I92" t="s">
        <v>18</v>
      </c>
      <c r="J92">
        <v>18301284</v>
      </c>
      <c r="K92" t="s">
        <v>19</v>
      </c>
      <c r="L92">
        <v>19815466</v>
      </c>
      <c r="M92" t="s">
        <v>11</v>
      </c>
      <c r="N92">
        <v>5969236</v>
      </c>
      <c r="O92" t="s">
        <v>20</v>
      </c>
      <c r="P92" t="s">
        <v>272</v>
      </c>
      <c r="Q92">
        <v>1138</v>
      </c>
      <c r="R92" t="s">
        <v>22</v>
      </c>
      <c r="S92">
        <v>69.28</v>
      </c>
    </row>
    <row r="93" spans="1:19" x14ac:dyDescent="0.35">
      <c r="A93" t="s">
        <v>13</v>
      </c>
      <c r="B93">
        <v>93</v>
      </c>
      <c r="C93" t="s">
        <v>14</v>
      </c>
      <c r="D93" t="s">
        <v>282</v>
      </c>
      <c r="E93">
        <v>4371</v>
      </c>
      <c r="F93" t="s">
        <v>16</v>
      </c>
      <c r="G93" t="s">
        <v>283</v>
      </c>
      <c r="H93">
        <v>272459</v>
      </c>
      <c r="I93" t="s">
        <v>18</v>
      </c>
      <c r="J93">
        <v>19105641</v>
      </c>
      <c r="K93" t="s">
        <v>19</v>
      </c>
      <c r="L93">
        <v>20727375</v>
      </c>
      <c r="M93" t="s">
        <v>11</v>
      </c>
      <c r="N93">
        <v>6233046</v>
      </c>
      <c r="O93" t="s">
        <v>20</v>
      </c>
      <c r="P93" t="s">
        <v>277</v>
      </c>
      <c r="Q93">
        <v>1139</v>
      </c>
      <c r="R93" t="s">
        <v>22</v>
      </c>
      <c r="S93">
        <v>67.88</v>
      </c>
    </row>
    <row r="94" spans="1:19" x14ac:dyDescent="0.35">
      <c r="A94" t="s">
        <v>13</v>
      </c>
      <c r="B94">
        <v>94</v>
      </c>
      <c r="C94" t="s">
        <v>14</v>
      </c>
      <c r="D94" t="s">
        <v>284</v>
      </c>
      <c r="E94">
        <v>4465</v>
      </c>
      <c r="F94" t="s">
        <v>16</v>
      </c>
      <c r="G94" t="s">
        <v>285</v>
      </c>
      <c r="H94">
        <v>281295</v>
      </c>
      <c r="I94" t="s">
        <v>18</v>
      </c>
      <c r="J94">
        <v>19936225</v>
      </c>
      <c r="K94" t="s">
        <v>19</v>
      </c>
      <c r="L94">
        <v>21667376</v>
      </c>
      <c r="M94" t="s">
        <v>11</v>
      </c>
      <c r="N94">
        <v>6505505</v>
      </c>
      <c r="O94" t="s">
        <v>20</v>
      </c>
      <c r="P94" t="s">
        <v>257</v>
      </c>
      <c r="Q94">
        <v>1141</v>
      </c>
      <c r="R94" t="s">
        <v>22</v>
      </c>
      <c r="S94">
        <v>66.84</v>
      </c>
    </row>
    <row r="95" spans="1:19" x14ac:dyDescent="0.35">
      <c r="A95" t="s">
        <v>13</v>
      </c>
      <c r="B95">
        <v>95</v>
      </c>
      <c r="C95" t="s">
        <v>14</v>
      </c>
      <c r="D95" t="s">
        <v>286</v>
      </c>
      <c r="E95">
        <v>4560</v>
      </c>
      <c r="F95" t="s">
        <v>16</v>
      </c>
      <c r="G95" t="s">
        <v>287</v>
      </c>
      <c r="H95">
        <v>290320</v>
      </c>
      <c r="I95" t="s">
        <v>18</v>
      </c>
      <c r="J95">
        <v>20793600</v>
      </c>
      <c r="K95" t="s">
        <v>19</v>
      </c>
      <c r="L95">
        <v>22640495</v>
      </c>
      <c r="M95" t="s">
        <v>11</v>
      </c>
      <c r="N95">
        <v>6786800</v>
      </c>
      <c r="O95" t="s">
        <v>20</v>
      </c>
      <c r="P95" t="s">
        <v>42</v>
      </c>
      <c r="Q95">
        <v>1142</v>
      </c>
      <c r="R95" t="s">
        <v>22</v>
      </c>
      <c r="S95">
        <v>66.08</v>
      </c>
    </row>
    <row r="96" spans="1:19" x14ac:dyDescent="0.35">
      <c r="A96" t="s">
        <v>13</v>
      </c>
      <c r="B96">
        <v>96</v>
      </c>
      <c r="C96" t="s">
        <v>14</v>
      </c>
      <c r="D96" t="s">
        <v>288</v>
      </c>
      <c r="E96">
        <v>4656</v>
      </c>
      <c r="F96" t="s">
        <v>16</v>
      </c>
      <c r="G96" t="s">
        <v>289</v>
      </c>
      <c r="H96">
        <v>299536</v>
      </c>
      <c r="I96" t="s">
        <v>18</v>
      </c>
      <c r="J96">
        <v>21678336</v>
      </c>
      <c r="K96" t="s">
        <v>19</v>
      </c>
      <c r="L96">
        <v>23656608</v>
      </c>
      <c r="M96" t="s">
        <v>11</v>
      </c>
      <c r="N96">
        <v>7077120</v>
      </c>
      <c r="O96" t="s">
        <v>20</v>
      </c>
      <c r="P96" t="s">
        <v>263</v>
      </c>
      <c r="Q96">
        <v>1143</v>
      </c>
      <c r="R96" t="s">
        <v>22</v>
      </c>
      <c r="S96">
        <v>65.36</v>
      </c>
    </row>
    <row r="97" spans="1:19" x14ac:dyDescent="0.35">
      <c r="A97" t="s">
        <v>13</v>
      </c>
      <c r="B97">
        <v>97</v>
      </c>
      <c r="C97" t="s">
        <v>14</v>
      </c>
      <c r="D97" t="s">
        <v>290</v>
      </c>
      <c r="E97">
        <v>4753</v>
      </c>
      <c r="F97" t="s">
        <v>16</v>
      </c>
      <c r="G97" t="s">
        <v>291</v>
      </c>
      <c r="H97">
        <v>308945</v>
      </c>
      <c r="I97" t="s">
        <v>18</v>
      </c>
      <c r="J97">
        <v>22591009</v>
      </c>
      <c r="K97" t="s">
        <v>19</v>
      </c>
      <c r="L97">
        <v>24702893</v>
      </c>
      <c r="M97" t="s">
        <v>11</v>
      </c>
      <c r="N97">
        <v>7376656</v>
      </c>
      <c r="O97" t="s">
        <v>20</v>
      </c>
      <c r="P97" t="s">
        <v>266</v>
      </c>
      <c r="Q97">
        <v>1144</v>
      </c>
      <c r="R97" t="s">
        <v>22</v>
      </c>
      <c r="S97">
        <v>64.64</v>
      </c>
    </row>
    <row r="98" spans="1:19" x14ac:dyDescent="0.35">
      <c r="A98" t="s">
        <v>13</v>
      </c>
      <c r="B98">
        <v>98</v>
      </c>
      <c r="C98" t="s">
        <v>14</v>
      </c>
      <c r="D98" t="s">
        <v>292</v>
      </c>
      <c r="E98">
        <v>4851</v>
      </c>
      <c r="F98" t="s">
        <v>16</v>
      </c>
      <c r="G98" t="s">
        <v>293</v>
      </c>
      <c r="H98">
        <v>318549</v>
      </c>
      <c r="I98" t="s">
        <v>18</v>
      </c>
      <c r="J98">
        <v>23532201</v>
      </c>
      <c r="K98" t="s">
        <v>19</v>
      </c>
      <c r="L98">
        <v>25779929</v>
      </c>
      <c r="M98" t="s">
        <v>11</v>
      </c>
      <c r="N98">
        <v>7685601</v>
      </c>
      <c r="O98" t="s">
        <v>20</v>
      </c>
      <c r="P98" t="s">
        <v>294</v>
      </c>
      <c r="Q98">
        <v>1146</v>
      </c>
      <c r="R98" t="s">
        <v>22</v>
      </c>
      <c r="S98">
        <v>64.040000000000006</v>
      </c>
    </row>
    <row r="99" spans="1:19" x14ac:dyDescent="0.35">
      <c r="A99" t="s">
        <v>13</v>
      </c>
      <c r="B99">
        <v>99</v>
      </c>
      <c r="C99" t="s">
        <v>14</v>
      </c>
      <c r="D99" t="s">
        <v>295</v>
      </c>
      <c r="E99">
        <v>4950</v>
      </c>
      <c r="F99" t="s">
        <v>16</v>
      </c>
      <c r="G99" t="s">
        <v>296</v>
      </c>
      <c r="H99">
        <v>328350</v>
      </c>
      <c r="I99" t="s">
        <v>18</v>
      </c>
      <c r="J99">
        <v>24502500</v>
      </c>
      <c r="K99" t="s">
        <v>19</v>
      </c>
      <c r="L99">
        <v>26878599</v>
      </c>
      <c r="M99" t="s">
        <v>11</v>
      </c>
      <c r="N99">
        <v>8004150</v>
      </c>
      <c r="O99" t="s">
        <v>20</v>
      </c>
      <c r="P99" t="s">
        <v>297</v>
      </c>
      <c r="Q99">
        <v>1147</v>
      </c>
      <c r="R99" t="s">
        <v>22</v>
      </c>
      <c r="S99">
        <v>63.8</v>
      </c>
    </row>
    <row r="100" spans="1:19" x14ac:dyDescent="0.35">
      <c r="A100" t="s">
        <v>13</v>
      </c>
      <c r="B100">
        <v>100</v>
      </c>
      <c r="C100" t="s">
        <v>14</v>
      </c>
      <c r="D100" t="s">
        <v>298</v>
      </c>
      <c r="E100">
        <v>5050</v>
      </c>
      <c r="F100" t="s">
        <v>16</v>
      </c>
      <c r="G100" t="s">
        <v>299</v>
      </c>
      <c r="H100">
        <v>338350</v>
      </c>
      <c r="I100" t="s">
        <v>18</v>
      </c>
      <c r="J100">
        <v>25502500</v>
      </c>
      <c r="K100" t="s">
        <v>19</v>
      </c>
      <c r="L100">
        <v>27999100</v>
      </c>
      <c r="M100" t="s">
        <v>11</v>
      </c>
      <c r="N100">
        <v>8332500</v>
      </c>
      <c r="O100" t="s">
        <v>20</v>
      </c>
      <c r="P100" t="s">
        <v>300</v>
      </c>
      <c r="Q100">
        <v>1149</v>
      </c>
      <c r="R100" t="s">
        <v>22</v>
      </c>
      <c r="S100">
        <v>63.56</v>
      </c>
    </row>
    <row r="101" spans="1:19" x14ac:dyDescent="0.35">
      <c r="A101" t="s">
        <v>13</v>
      </c>
      <c r="B101">
        <v>101</v>
      </c>
      <c r="C101" t="s">
        <v>14</v>
      </c>
      <c r="D101" t="s">
        <v>301</v>
      </c>
      <c r="E101">
        <v>5151</v>
      </c>
      <c r="F101" t="s">
        <v>16</v>
      </c>
      <c r="G101" t="s">
        <v>302</v>
      </c>
      <c r="H101">
        <v>348551</v>
      </c>
      <c r="I101" t="s">
        <v>18</v>
      </c>
      <c r="J101">
        <v>26532801</v>
      </c>
      <c r="K101" t="s">
        <v>19</v>
      </c>
      <c r="L101">
        <v>29182031</v>
      </c>
      <c r="M101" t="s">
        <v>11</v>
      </c>
      <c r="N101">
        <v>8670850</v>
      </c>
      <c r="O101" t="s">
        <v>20</v>
      </c>
      <c r="P101" t="s">
        <v>303</v>
      </c>
      <c r="Q101">
        <v>1150</v>
      </c>
      <c r="R101" t="s">
        <v>22</v>
      </c>
      <c r="S101">
        <v>63.28</v>
      </c>
    </row>
    <row r="102" spans="1:19" x14ac:dyDescent="0.35">
      <c r="A102" t="s">
        <v>13</v>
      </c>
      <c r="B102">
        <v>102</v>
      </c>
      <c r="C102" t="s">
        <v>14</v>
      </c>
      <c r="D102" t="s">
        <v>304</v>
      </c>
      <c r="E102">
        <v>5253</v>
      </c>
      <c r="F102" t="s">
        <v>16</v>
      </c>
      <c r="G102" t="s">
        <v>305</v>
      </c>
      <c r="H102">
        <v>358955</v>
      </c>
      <c r="I102" t="s">
        <v>18</v>
      </c>
      <c r="J102">
        <v>27594009</v>
      </c>
      <c r="K102" t="s">
        <v>19</v>
      </c>
      <c r="L102">
        <v>30393144</v>
      </c>
      <c r="M102" t="s">
        <v>11</v>
      </c>
      <c r="N102">
        <v>9019401</v>
      </c>
      <c r="O102" t="s">
        <v>20</v>
      </c>
      <c r="P102" t="s">
        <v>306</v>
      </c>
      <c r="Q102">
        <v>1152</v>
      </c>
      <c r="R102" t="s">
        <v>22</v>
      </c>
      <c r="S102">
        <v>62.96</v>
      </c>
    </row>
    <row r="103" spans="1:19" x14ac:dyDescent="0.35">
      <c r="A103" t="s">
        <v>13</v>
      </c>
      <c r="B103">
        <v>103</v>
      </c>
      <c r="C103" t="s">
        <v>14</v>
      </c>
      <c r="D103" t="s">
        <v>307</v>
      </c>
      <c r="E103">
        <v>5356</v>
      </c>
      <c r="F103" t="s">
        <v>16</v>
      </c>
      <c r="G103" t="s">
        <v>308</v>
      </c>
      <c r="H103">
        <v>369564</v>
      </c>
      <c r="I103" t="s">
        <v>18</v>
      </c>
      <c r="J103">
        <v>28686736</v>
      </c>
      <c r="K103" t="s">
        <v>19</v>
      </c>
      <c r="L103">
        <v>31648604</v>
      </c>
      <c r="M103" t="s">
        <v>11</v>
      </c>
      <c r="N103">
        <v>9378356</v>
      </c>
      <c r="O103" t="s">
        <v>20</v>
      </c>
      <c r="P103" t="s">
        <v>309</v>
      </c>
      <c r="Q103">
        <v>1153</v>
      </c>
      <c r="R103" t="s">
        <v>22</v>
      </c>
      <c r="S103">
        <v>62.52</v>
      </c>
    </row>
    <row r="104" spans="1:19" x14ac:dyDescent="0.35">
      <c r="A104" t="s">
        <v>13</v>
      </c>
      <c r="B104">
        <v>104</v>
      </c>
      <c r="C104" t="s">
        <v>14</v>
      </c>
      <c r="D104" t="s">
        <v>310</v>
      </c>
      <c r="E104">
        <v>5460</v>
      </c>
      <c r="F104" t="s">
        <v>16</v>
      </c>
      <c r="G104" t="s">
        <v>311</v>
      </c>
      <c r="H104">
        <v>380380</v>
      </c>
      <c r="I104" t="s">
        <v>18</v>
      </c>
      <c r="J104">
        <v>29811600</v>
      </c>
      <c r="K104" t="s">
        <v>19</v>
      </c>
      <c r="L104">
        <v>32933368</v>
      </c>
      <c r="M104" t="s">
        <v>11</v>
      </c>
      <c r="N104">
        <v>9747920</v>
      </c>
      <c r="O104" t="s">
        <v>20</v>
      </c>
      <c r="P104" t="s">
        <v>312</v>
      </c>
      <c r="Q104">
        <v>1154</v>
      </c>
      <c r="R104" t="s">
        <v>22</v>
      </c>
      <c r="S104">
        <v>62.04</v>
      </c>
    </row>
    <row r="105" spans="1:19" x14ac:dyDescent="0.35">
      <c r="A105" t="s">
        <v>13</v>
      </c>
      <c r="B105">
        <v>105</v>
      </c>
      <c r="C105" t="s">
        <v>14</v>
      </c>
      <c r="D105" t="s">
        <v>313</v>
      </c>
      <c r="E105">
        <v>5565</v>
      </c>
      <c r="F105" t="s">
        <v>16</v>
      </c>
      <c r="G105" t="s">
        <v>314</v>
      </c>
      <c r="H105">
        <v>391405</v>
      </c>
      <c r="I105" t="s">
        <v>18</v>
      </c>
      <c r="J105">
        <v>30969225</v>
      </c>
      <c r="K105" t="s">
        <v>19</v>
      </c>
      <c r="L105">
        <v>34198710</v>
      </c>
      <c r="M105" t="s">
        <v>11</v>
      </c>
      <c r="N105">
        <v>10128300</v>
      </c>
      <c r="O105" t="s">
        <v>20</v>
      </c>
      <c r="P105" t="s">
        <v>315</v>
      </c>
      <c r="Q105">
        <v>1155</v>
      </c>
      <c r="R105" t="s">
        <v>22</v>
      </c>
      <c r="S105">
        <v>61.4</v>
      </c>
    </row>
    <row r="106" spans="1:19" x14ac:dyDescent="0.35">
      <c r="A106" t="s">
        <v>13</v>
      </c>
      <c r="B106">
        <v>106</v>
      </c>
      <c r="C106" t="s">
        <v>14</v>
      </c>
      <c r="D106" t="s">
        <v>316</v>
      </c>
      <c r="E106">
        <v>5671</v>
      </c>
      <c r="F106" t="s">
        <v>16</v>
      </c>
      <c r="G106" t="s">
        <v>317</v>
      </c>
      <c r="H106">
        <v>402641</v>
      </c>
      <c r="I106" t="s">
        <v>18</v>
      </c>
      <c r="J106">
        <v>32160241</v>
      </c>
      <c r="K106" t="s">
        <v>19</v>
      </c>
      <c r="L106">
        <v>35348562</v>
      </c>
      <c r="M106" t="s">
        <v>11</v>
      </c>
      <c r="N106">
        <v>10519705</v>
      </c>
      <c r="O106" t="s">
        <v>20</v>
      </c>
      <c r="P106" t="s">
        <v>300</v>
      </c>
      <c r="Q106">
        <v>1155</v>
      </c>
      <c r="R106" t="s">
        <v>22</v>
      </c>
      <c r="S106">
        <v>60.48</v>
      </c>
    </row>
    <row r="107" spans="1:19" x14ac:dyDescent="0.35">
      <c r="A107" t="s">
        <v>13</v>
      </c>
      <c r="B107">
        <v>107</v>
      </c>
      <c r="C107" t="s">
        <v>14</v>
      </c>
      <c r="D107" t="s">
        <v>318</v>
      </c>
      <c r="E107">
        <v>5778</v>
      </c>
      <c r="F107" t="s">
        <v>16</v>
      </c>
      <c r="G107" t="s">
        <v>319</v>
      </c>
      <c r="H107">
        <v>414090</v>
      </c>
      <c r="I107" t="s">
        <v>18</v>
      </c>
      <c r="J107">
        <v>33385284</v>
      </c>
      <c r="K107" t="s">
        <v>19</v>
      </c>
      <c r="L107">
        <v>36684094</v>
      </c>
      <c r="M107" t="s">
        <v>11</v>
      </c>
      <c r="N107">
        <v>10922346</v>
      </c>
      <c r="O107" t="s">
        <v>20</v>
      </c>
      <c r="P107" t="s">
        <v>300</v>
      </c>
      <c r="Q107">
        <v>1156</v>
      </c>
      <c r="R107" t="s">
        <v>22</v>
      </c>
      <c r="S107">
        <v>59.52</v>
      </c>
    </row>
    <row r="108" spans="1:19" x14ac:dyDescent="0.35">
      <c r="A108" t="s">
        <v>13</v>
      </c>
      <c r="B108">
        <v>108</v>
      </c>
      <c r="C108" t="s">
        <v>14</v>
      </c>
      <c r="D108" t="s">
        <v>320</v>
      </c>
      <c r="E108">
        <v>5886</v>
      </c>
      <c r="F108" t="s">
        <v>16</v>
      </c>
      <c r="G108" t="s">
        <v>321</v>
      </c>
      <c r="H108">
        <v>425754</v>
      </c>
      <c r="I108" t="s">
        <v>18</v>
      </c>
      <c r="J108">
        <v>34644996</v>
      </c>
      <c r="K108" t="s">
        <v>19</v>
      </c>
      <c r="L108">
        <v>38101914</v>
      </c>
      <c r="M108" t="s">
        <v>11</v>
      </c>
      <c r="N108">
        <v>11336436</v>
      </c>
      <c r="O108" t="s">
        <v>20</v>
      </c>
      <c r="P108" t="s">
        <v>300</v>
      </c>
      <c r="Q108">
        <v>1156</v>
      </c>
      <c r="R108" t="s">
        <v>22</v>
      </c>
      <c r="S108">
        <v>58.56</v>
      </c>
    </row>
    <row r="109" spans="1:19" x14ac:dyDescent="0.35">
      <c r="A109" t="s">
        <v>13</v>
      </c>
      <c r="B109">
        <v>109</v>
      </c>
      <c r="C109" t="s">
        <v>14</v>
      </c>
      <c r="D109" t="s">
        <v>322</v>
      </c>
      <c r="E109">
        <v>5995</v>
      </c>
      <c r="F109" t="s">
        <v>16</v>
      </c>
      <c r="G109" t="s">
        <v>323</v>
      </c>
      <c r="H109">
        <v>437635</v>
      </c>
      <c r="I109" t="s">
        <v>18</v>
      </c>
      <c r="J109">
        <v>35940025</v>
      </c>
      <c r="K109" t="s">
        <v>19</v>
      </c>
      <c r="L109">
        <v>39557299</v>
      </c>
      <c r="M109" t="s">
        <v>11</v>
      </c>
      <c r="N109">
        <v>11762190</v>
      </c>
      <c r="O109" t="s">
        <v>20</v>
      </c>
      <c r="P109" t="s">
        <v>324</v>
      </c>
      <c r="Q109">
        <v>1156</v>
      </c>
      <c r="R109" t="s">
        <v>22</v>
      </c>
      <c r="S109">
        <v>57.64</v>
      </c>
    </row>
    <row r="110" spans="1:19" x14ac:dyDescent="0.35">
      <c r="A110" t="s">
        <v>13</v>
      </c>
      <c r="B110">
        <v>110</v>
      </c>
      <c r="C110" t="s">
        <v>14</v>
      </c>
      <c r="D110" t="s">
        <v>325</v>
      </c>
      <c r="E110">
        <v>6105</v>
      </c>
      <c r="F110" t="s">
        <v>16</v>
      </c>
      <c r="G110" t="s">
        <v>326</v>
      </c>
      <c r="H110">
        <v>449735</v>
      </c>
      <c r="I110" t="s">
        <v>18</v>
      </c>
      <c r="J110">
        <v>37271025</v>
      </c>
      <c r="K110" t="s">
        <v>19</v>
      </c>
      <c r="L110">
        <v>40913015</v>
      </c>
      <c r="M110" t="s">
        <v>11</v>
      </c>
      <c r="N110">
        <v>12199825</v>
      </c>
      <c r="O110" t="s">
        <v>20</v>
      </c>
      <c r="P110" t="s">
        <v>294</v>
      </c>
      <c r="Q110">
        <v>1156</v>
      </c>
      <c r="R110" t="s">
        <v>22</v>
      </c>
      <c r="S110">
        <v>56.6</v>
      </c>
    </row>
    <row r="111" spans="1:19" x14ac:dyDescent="0.35">
      <c r="A111" t="s">
        <v>13</v>
      </c>
      <c r="B111">
        <v>111</v>
      </c>
      <c r="C111" t="s">
        <v>14</v>
      </c>
      <c r="D111" t="s">
        <v>327</v>
      </c>
      <c r="E111">
        <v>6216</v>
      </c>
      <c r="F111" t="s">
        <v>16</v>
      </c>
      <c r="G111" t="s">
        <v>328</v>
      </c>
      <c r="H111">
        <v>462056</v>
      </c>
      <c r="I111" t="s">
        <v>18</v>
      </c>
      <c r="J111">
        <v>38638656</v>
      </c>
      <c r="K111" t="s">
        <v>19</v>
      </c>
      <c r="L111">
        <v>42384462</v>
      </c>
      <c r="M111" t="s">
        <v>11</v>
      </c>
      <c r="N111">
        <v>12649560</v>
      </c>
      <c r="O111" t="s">
        <v>20</v>
      </c>
      <c r="P111" t="s">
        <v>329</v>
      </c>
      <c r="Q111">
        <v>1156</v>
      </c>
      <c r="R111" t="s">
        <v>22</v>
      </c>
      <c r="S111">
        <v>55.76</v>
      </c>
    </row>
    <row r="112" spans="1:19" x14ac:dyDescent="0.35">
      <c r="A112" t="s">
        <v>13</v>
      </c>
      <c r="B112">
        <v>112</v>
      </c>
      <c r="C112" t="s">
        <v>14</v>
      </c>
      <c r="D112" t="s">
        <v>330</v>
      </c>
      <c r="E112">
        <v>6328</v>
      </c>
      <c r="F112" t="s">
        <v>16</v>
      </c>
      <c r="G112" t="s">
        <v>331</v>
      </c>
      <c r="H112">
        <v>474600</v>
      </c>
      <c r="I112" t="s">
        <v>18</v>
      </c>
      <c r="J112">
        <v>40043584</v>
      </c>
      <c r="K112" t="s">
        <v>19</v>
      </c>
      <c r="L112">
        <v>43981392</v>
      </c>
      <c r="M112" t="s">
        <v>11</v>
      </c>
      <c r="N112">
        <v>13111616</v>
      </c>
      <c r="O112" t="s">
        <v>20</v>
      </c>
      <c r="P112" t="s">
        <v>294</v>
      </c>
      <c r="Q112">
        <v>1157</v>
      </c>
      <c r="R112" t="s">
        <v>22</v>
      </c>
      <c r="S112">
        <v>55.28</v>
      </c>
    </row>
    <row r="113" spans="1:19" x14ac:dyDescent="0.35">
      <c r="A113" t="s">
        <v>13</v>
      </c>
      <c r="B113">
        <v>113</v>
      </c>
      <c r="C113" t="s">
        <v>14</v>
      </c>
      <c r="D113" t="s">
        <v>332</v>
      </c>
      <c r="E113">
        <v>6441</v>
      </c>
      <c r="F113" t="s">
        <v>16</v>
      </c>
      <c r="G113" t="s">
        <v>333</v>
      </c>
      <c r="H113">
        <v>487369</v>
      </c>
      <c r="I113" t="s">
        <v>18</v>
      </c>
      <c r="J113">
        <v>41486481</v>
      </c>
      <c r="K113" t="s">
        <v>19</v>
      </c>
      <c r="L113">
        <v>45625332</v>
      </c>
      <c r="M113" t="s">
        <v>11</v>
      </c>
      <c r="N113">
        <v>13586216</v>
      </c>
      <c r="O113" t="s">
        <v>20</v>
      </c>
      <c r="P113" t="s">
        <v>297</v>
      </c>
      <c r="Q113">
        <v>1157</v>
      </c>
      <c r="R113" t="s">
        <v>22</v>
      </c>
      <c r="S113">
        <v>54.88</v>
      </c>
    </row>
    <row r="114" spans="1:19" x14ac:dyDescent="0.35">
      <c r="A114" t="s">
        <v>13</v>
      </c>
      <c r="B114">
        <v>114</v>
      </c>
      <c r="C114" t="s">
        <v>14</v>
      </c>
      <c r="D114" t="s">
        <v>334</v>
      </c>
      <c r="E114">
        <v>6555</v>
      </c>
      <c r="F114" t="s">
        <v>16</v>
      </c>
      <c r="G114" t="s">
        <v>335</v>
      </c>
      <c r="H114">
        <v>500365</v>
      </c>
      <c r="I114" t="s">
        <v>18</v>
      </c>
      <c r="J114">
        <v>42968025</v>
      </c>
      <c r="K114" t="s">
        <v>19</v>
      </c>
      <c r="L114">
        <v>47304300</v>
      </c>
      <c r="M114" t="s">
        <v>11</v>
      </c>
      <c r="N114">
        <v>14073585</v>
      </c>
      <c r="O114" t="s">
        <v>20</v>
      </c>
      <c r="P114" t="s">
        <v>324</v>
      </c>
      <c r="Q114">
        <v>1158</v>
      </c>
      <c r="R114" t="s">
        <v>22</v>
      </c>
      <c r="S114">
        <v>54.52</v>
      </c>
    </row>
    <row r="115" spans="1:19" x14ac:dyDescent="0.35">
      <c r="A115" t="s">
        <v>13</v>
      </c>
      <c r="B115">
        <v>115</v>
      </c>
      <c r="C115" t="s">
        <v>14</v>
      </c>
      <c r="D115" t="s">
        <v>336</v>
      </c>
      <c r="E115">
        <v>6670</v>
      </c>
      <c r="F115" t="s">
        <v>16</v>
      </c>
      <c r="G115" t="s">
        <v>337</v>
      </c>
      <c r="H115">
        <v>513590</v>
      </c>
      <c r="I115" t="s">
        <v>18</v>
      </c>
      <c r="J115">
        <v>44488900</v>
      </c>
      <c r="K115" t="s">
        <v>19</v>
      </c>
      <c r="L115">
        <v>49025305</v>
      </c>
      <c r="M115" t="s">
        <v>11</v>
      </c>
      <c r="N115">
        <v>14573950</v>
      </c>
      <c r="O115" t="s">
        <v>20</v>
      </c>
      <c r="P115" t="s">
        <v>303</v>
      </c>
      <c r="Q115">
        <v>1159</v>
      </c>
      <c r="R115" t="s">
        <v>22</v>
      </c>
      <c r="S115">
        <v>54.36</v>
      </c>
    </row>
    <row r="116" spans="1:19" x14ac:dyDescent="0.35">
      <c r="A116" t="s">
        <v>13</v>
      </c>
      <c r="B116">
        <v>116</v>
      </c>
      <c r="C116" t="s">
        <v>14</v>
      </c>
      <c r="D116" t="s">
        <v>338</v>
      </c>
      <c r="E116">
        <v>6786</v>
      </c>
      <c r="F116" t="s">
        <v>16</v>
      </c>
      <c r="G116" t="s">
        <v>339</v>
      </c>
      <c r="H116">
        <v>527046</v>
      </c>
      <c r="I116" t="s">
        <v>18</v>
      </c>
      <c r="J116">
        <v>46049796</v>
      </c>
      <c r="K116" t="s">
        <v>19</v>
      </c>
      <c r="L116">
        <v>50782364</v>
      </c>
      <c r="M116" t="s">
        <v>11</v>
      </c>
      <c r="N116">
        <v>15087540</v>
      </c>
      <c r="O116" t="s">
        <v>20</v>
      </c>
      <c r="P116" t="s">
        <v>303</v>
      </c>
      <c r="Q116">
        <v>1159</v>
      </c>
      <c r="R116" t="s">
        <v>22</v>
      </c>
      <c r="S116">
        <v>54.16</v>
      </c>
    </row>
    <row r="117" spans="1:19" x14ac:dyDescent="0.35">
      <c r="A117" t="s">
        <v>13</v>
      </c>
      <c r="B117">
        <v>117</v>
      </c>
      <c r="C117" t="s">
        <v>14</v>
      </c>
      <c r="D117" t="s">
        <v>340</v>
      </c>
      <c r="E117">
        <v>6903</v>
      </c>
      <c r="F117" t="s">
        <v>16</v>
      </c>
      <c r="G117" t="s">
        <v>341</v>
      </c>
      <c r="H117">
        <v>540735</v>
      </c>
      <c r="I117" t="s">
        <v>18</v>
      </c>
      <c r="J117">
        <v>47651409</v>
      </c>
      <c r="K117" t="s">
        <v>19</v>
      </c>
      <c r="L117">
        <v>52582725</v>
      </c>
      <c r="M117" t="s">
        <v>11</v>
      </c>
      <c r="N117">
        <v>15614586</v>
      </c>
      <c r="O117" t="s">
        <v>20</v>
      </c>
      <c r="P117" t="s">
        <v>342</v>
      </c>
      <c r="Q117">
        <v>1160</v>
      </c>
      <c r="R117" t="s">
        <v>22</v>
      </c>
      <c r="S117">
        <v>53.92</v>
      </c>
    </row>
    <row r="118" spans="1:19" x14ac:dyDescent="0.35">
      <c r="A118" t="s">
        <v>13</v>
      </c>
      <c r="B118">
        <v>118</v>
      </c>
      <c r="C118" t="s">
        <v>14</v>
      </c>
      <c r="D118" t="s">
        <v>343</v>
      </c>
      <c r="E118">
        <v>7021</v>
      </c>
      <c r="F118" t="s">
        <v>16</v>
      </c>
      <c r="G118" t="s">
        <v>344</v>
      </c>
      <c r="H118">
        <v>554659</v>
      </c>
      <c r="I118" t="s">
        <v>18</v>
      </c>
      <c r="J118">
        <v>49294441</v>
      </c>
      <c r="K118" t="s">
        <v>19</v>
      </c>
      <c r="L118">
        <v>54364960</v>
      </c>
      <c r="M118" t="s">
        <v>11</v>
      </c>
      <c r="N118">
        <v>16155321</v>
      </c>
      <c r="O118" t="s">
        <v>20</v>
      </c>
      <c r="P118" t="s">
        <v>303</v>
      </c>
      <c r="Q118">
        <v>1160</v>
      </c>
      <c r="R118" t="s">
        <v>22</v>
      </c>
      <c r="S118">
        <v>53.64</v>
      </c>
    </row>
    <row r="119" spans="1:19" x14ac:dyDescent="0.35">
      <c r="A119" t="s">
        <v>13</v>
      </c>
      <c r="B119">
        <v>119</v>
      </c>
      <c r="C119" t="s">
        <v>14</v>
      </c>
      <c r="D119" t="s">
        <v>345</v>
      </c>
      <c r="E119">
        <v>7140</v>
      </c>
      <c r="F119" t="s">
        <v>16</v>
      </c>
      <c r="G119" t="s">
        <v>346</v>
      </c>
      <c r="H119">
        <v>568820</v>
      </c>
      <c r="I119" t="s">
        <v>18</v>
      </c>
      <c r="J119">
        <v>50979600</v>
      </c>
      <c r="K119" t="s">
        <v>19</v>
      </c>
      <c r="L119">
        <v>56268079</v>
      </c>
      <c r="M119" t="s">
        <v>11</v>
      </c>
      <c r="N119">
        <v>16709980</v>
      </c>
      <c r="O119" t="s">
        <v>20</v>
      </c>
      <c r="P119" t="s">
        <v>342</v>
      </c>
      <c r="Q119">
        <v>1161</v>
      </c>
      <c r="R119" t="s">
        <v>22</v>
      </c>
      <c r="S119">
        <v>53.36</v>
      </c>
    </row>
    <row r="120" spans="1:19" x14ac:dyDescent="0.35">
      <c r="A120" t="s">
        <v>13</v>
      </c>
      <c r="B120">
        <v>120</v>
      </c>
      <c r="C120" t="s">
        <v>14</v>
      </c>
      <c r="D120" t="s">
        <v>347</v>
      </c>
      <c r="E120">
        <v>7260</v>
      </c>
      <c r="F120" t="s">
        <v>16</v>
      </c>
      <c r="G120" t="s">
        <v>348</v>
      </c>
      <c r="H120">
        <v>583220</v>
      </c>
      <c r="I120" t="s">
        <v>18</v>
      </c>
      <c r="J120">
        <v>52707600</v>
      </c>
      <c r="K120" t="s">
        <v>19</v>
      </c>
      <c r="L120">
        <v>58252560</v>
      </c>
      <c r="M120" t="s">
        <v>11</v>
      </c>
      <c r="N120">
        <v>17278800</v>
      </c>
      <c r="O120" t="s">
        <v>20</v>
      </c>
      <c r="P120" t="s">
        <v>306</v>
      </c>
      <c r="Q120">
        <v>1161</v>
      </c>
      <c r="R120" t="s">
        <v>22</v>
      </c>
      <c r="S120">
        <v>53.04</v>
      </c>
    </row>
    <row r="121" spans="1:19" x14ac:dyDescent="0.35">
      <c r="A121" t="s">
        <v>13</v>
      </c>
      <c r="B121">
        <v>121</v>
      </c>
      <c r="C121" t="s">
        <v>14</v>
      </c>
      <c r="D121" t="s">
        <v>349</v>
      </c>
      <c r="E121">
        <v>7381</v>
      </c>
      <c r="F121" t="s">
        <v>16</v>
      </c>
      <c r="G121" t="s">
        <v>350</v>
      </c>
      <c r="H121">
        <v>597861</v>
      </c>
      <c r="I121" t="s">
        <v>18</v>
      </c>
      <c r="J121">
        <v>54479161</v>
      </c>
      <c r="K121" t="s">
        <v>19</v>
      </c>
      <c r="L121">
        <v>60284015</v>
      </c>
      <c r="M121" t="s">
        <v>11</v>
      </c>
      <c r="N121">
        <v>17862020</v>
      </c>
      <c r="O121" t="s">
        <v>20</v>
      </c>
      <c r="P121" t="s">
        <v>309</v>
      </c>
      <c r="Q121">
        <v>1162</v>
      </c>
      <c r="R121" t="s">
        <v>22</v>
      </c>
      <c r="S121">
        <v>52.68</v>
      </c>
    </row>
    <row r="122" spans="1:19" x14ac:dyDescent="0.35">
      <c r="A122" t="s">
        <v>13</v>
      </c>
      <c r="B122">
        <v>122</v>
      </c>
      <c r="C122" t="s">
        <v>14</v>
      </c>
      <c r="D122" t="s">
        <v>351</v>
      </c>
      <c r="E122">
        <v>7503</v>
      </c>
      <c r="F122" t="s">
        <v>16</v>
      </c>
      <c r="G122" t="s">
        <v>352</v>
      </c>
      <c r="H122">
        <v>612745</v>
      </c>
      <c r="I122" t="s">
        <v>18</v>
      </c>
      <c r="J122">
        <v>56295009</v>
      </c>
      <c r="K122" t="s">
        <v>19</v>
      </c>
      <c r="L122">
        <v>62370548</v>
      </c>
      <c r="M122" t="s">
        <v>11</v>
      </c>
      <c r="N122">
        <v>18459881</v>
      </c>
      <c r="O122" t="s">
        <v>20</v>
      </c>
      <c r="P122" t="s">
        <v>312</v>
      </c>
      <c r="Q122">
        <v>1162</v>
      </c>
      <c r="R122" t="s">
        <v>22</v>
      </c>
      <c r="S122">
        <v>52.4</v>
      </c>
    </row>
    <row r="123" spans="1:19" x14ac:dyDescent="0.35">
      <c r="A123" t="s">
        <v>13</v>
      </c>
      <c r="B123">
        <v>123</v>
      </c>
      <c r="C123" t="s">
        <v>14</v>
      </c>
      <c r="D123" t="s">
        <v>353</v>
      </c>
      <c r="E123">
        <v>7626</v>
      </c>
      <c r="F123" t="s">
        <v>16</v>
      </c>
      <c r="G123" t="s">
        <v>354</v>
      </c>
      <c r="H123">
        <v>627874</v>
      </c>
      <c r="I123" t="s">
        <v>18</v>
      </c>
      <c r="J123">
        <v>58155876</v>
      </c>
      <c r="K123" t="s">
        <v>19</v>
      </c>
      <c r="L123">
        <v>64460610</v>
      </c>
      <c r="M123" t="s">
        <v>11</v>
      </c>
      <c r="N123">
        <v>19072626</v>
      </c>
      <c r="O123" t="s">
        <v>20</v>
      </c>
      <c r="P123" t="s">
        <v>312</v>
      </c>
      <c r="Q123">
        <v>1162</v>
      </c>
      <c r="R123" t="s">
        <v>22</v>
      </c>
      <c r="S123">
        <v>52.12</v>
      </c>
    </row>
    <row r="124" spans="1:19" x14ac:dyDescent="0.35">
      <c r="A124" t="s">
        <v>13</v>
      </c>
      <c r="B124">
        <v>124</v>
      </c>
      <c r="C124" t="s">
        <v>14</v>
      </c>
      <c r="D124" t="s">
        <v>355</v>
      </c>
      <c r="E124">
        <v>7750</v>
      </c>
      <c r="F124" t="s">
        <v>16</v>
      </c>
      <c r="G124" t="s">
        <v>356</v>
      </c>
      <c r="H124">
        <v>643250</v>
      </c>
      <c r="I124" t="s">
        <v>18</v>
      </c>
      <c r="J124">
        <v>60062500</v>
      </c>
      <c r="K124" t="s">
        <v>19</v>
      </c>
      <c r="L124">
        <v>66423824</v>
      </c>
      <c r="M124" t="s">
        <v>11</v>
      </c>
      <c r="N124">
        <v>19700500</v>
      </c>
      <c r="O124" t="s">
        <v>20</v>
      </c>
      <c r="P124" t="s">
        <v>306</v>
      </c>
      <c r="Q124">
        <v>1162</v>
      </c>
      <c r="R124" t="s">
        <v>22</v>
      </c>
      <c r="S124">
        <v>51.76</v>
      </c>
    </row>
    <row r="125" spans="1:19" x14ac:dyDescent="0.35">
      <c r="A125" t="s">
        <v>13</v>
      </c>
      <c r="B125">
        <v>125</v>
      </c>
      <c r="C125" t="s">
        <v>14</v>
      </c>
      <c r="D125" t="s">
        <v>357</v>
      </c>
      <c r="E125">
        <v>7875</v>
      </c>
      <c r="F125" t="s">
        <v>16</v>
      </c>
      <c r="G125" t="s">
        <v>358</v>
      </c>
      <c r="H125">
        <v>658875</v>
      </c>
      <c r="I125" t="s">
        <v>18</v>
      </c>
      <c r="J125">
        <v>62015625</v>
      </c>
      <c r="K125" t="s">
        <v>19</v>
      </c>
      <c r="L125">
        <v>68573000</v>
      </c>
      <c r="M125" t="s">
        <v>11</v>
      </c>
      <c r="N125">
        <v>20343750</v>
      </c>
      <c r="O125" t="s">
        <v>20</v>
      </c>
      <c r="P125" t="s">
        <v>306</v>
      </c>
      <c r="Q125">
        <v>1163</v>
      </c>
      <c r="R125" t="s">
        <v>22</v>
      </c>
      <c r="S125">
        <v>51.32</v>
      </c>
    </row>
    <row r="126" spans="1:19" x14ac:dyDescent="0.35">
      <c r="A126" t="s">
        <v>13</v>
      </c>
      <c r="B126">
        <v>126</v>
      </c>
      <c r="C126" t="s">
        <v>14</v>
      </c>
      <c r="D126" t="s">
        <v>359</v>
      </c>
      <c r="E126">
        <v>8001</v>
      </c>
      <c r="F126" t="s">
        <v>16</v>
      </c>
      <c r="G126" t="s">
        <v>360</v>
      </c>
      <c r="H126">
        <v>674751</v>
      </c>
      <c r="I126" t="s">
        <v>18</v>
      </c>
      <c r="J126">
        <v>64016001</v>
      </c>
      <c r="K126" t="s">
        <v>19</v>
      </c>
      <c r="L126">
        <v>70834617</v>
      </c>
      <c r="M126" t="s">
        <v>11</v>
      </c>
      <c r="N126">
        <v>21002625</v>
      </c>
      <c r="O126" t="s">
        <v>20</v>
      </c>
      <c r="P126" t="s">
        <v>309</v>
      </c>
      <c r="Q126">
        <v>1163</v>
      </c>
      <c r="R126" t="s">
        <v>22</v>
      </c>
      <c r="S126">
        <v>50.92</v>
      </c>
    </row>
    <row r="127" spans="1:19" x14ac:dyDescent="0.35">
      <c r="A127" t="s">
        <v>13</v>
      </c>
      <c r="B127">
        <v>127</v>
      </c>
      <c r="C127" t="s">
        <v>14</v>
      </c>
      <c r="D127" t="s">
        <v>361</v>
      </c>
      <c r="E127">
        <v>8128</v>
      </c>
      <c r="F127" t="s">
        <v>16</v>
      </c>
      <c r="G127" t="s">
        <v>362</v>
      </c>
      <c r="H127">
        <v>690880</v>
      </c>
      <c r="I127" t="s">
        <v>18</v>
      </c>
      <c r="J127">
        <v>66064384</v>
      </c>
      <c r="K127" t="s">
        <v>19</v>
      </c>
      <c r="L127">
        <v>73155429</v>
      </c>
      <c r="M127" t="s">
        <v>11</v>
      </c>
      <c r="N127">
        <v>21677376</v>
      </c>
      <c r="O127" t="s">
        <v>20</v>
      </c>
      <c r="P127" t="s">
        <v>309</v>
      </c>
      <c r="Q127">
        <v>1163</v>
      </c>
      <c r="R127" t="s">
        <v>22</v>
      </c>
      <c r="S127">
        <v>50.52</v>
      </c>
    </row>
    <row r="128" spans="1:19" x14ac:dyDescent="0.35">
      <c r="A128" t="s">
        <v>13</v>
      </c>
      <c r="B128">
        <v>128</v>
      </c>
      <c r="C128" t="s">
        <v>14</v>
      </c>
      <c r="D128" t="s">
        <v>363</v>
      </c>
      <c r="E128">
        <v>8256</v>
      </c>
      <c r="F128" t="s">
        <v>16</v>
      </c>
      <c r="G128" t="s">
        <v>364</v>
      </c>
      <c r="H128">
        <v>707264</v>
      </c>
      <c r="I128" t="s">
        <v>18</v>
      </c>
      <c r="J128">
        <v>68161536</v>
      </c>
      <c r="K128" t="s">
        <v>19</v>
      </c>
      <c r="L128">
        <v>75316992</v>
      </c>
      <c r="M128" t="s">
        <v>11</v>
      </c>
      <c r="N128">
        <v>22368256</v>
      </c>
      <c r="O128" t="s">
        <v>20</v>
      </c>
      <c r="P128" t="s">
        <v>342</v>
      </c>
      <c r="Q128">
        <v>1162</v>
      </c>
      <c r="R128" t="s">
        <v>22</v>
      </c>
      <c r="S128">
        <v>50.04</v>
      </c>
    </row>
    <row r="129" spans="1:19" x14ac:dyDescent="0.35">
      <c r="A129" t="s">
        <v>13</v>
      </c>
      <c r="B129">
        <v>129</v>
      </c>
      <c r="C129" t="s">
        <v>14</v>
      </c>
      <c r="D129" t="s">
        <v>365</v>
      </c>
      <c r="E129">
        <v>8385</v>
      </c>
      <c r="F129" t="s">
        <v>16</v>
      </c>
      <c r="G129" t="s">
        <v>366</v>
      </c>
      <c r="H129">
        <v>723905</v>
      </c>
      <c r="I129" t="s">
        <v>18</v>
      </c>
      <c r="J129">
        <v>70308225</v>
      </c>
      <c r="K129" t="s">
        <v>19</v>
      </c>
      <c r="L129">
        <v>77610657</v>
      </c>
      <c r="M129" t="s">
        <v>11</v>
      </c>
      <c r="N129">
        <v>23075520</v>
      </c>
      <c r="O129" t="s">
        <v>20</v>
      </c>
      <c r="P129" t="s">
        <v>324</v>
      </c>
      <c r="Q129">
        <v>1162</v>
      </c>
      <c r="R129" t="s">
        <v>22</v>
      </c>
      <c r="S129">
        <v>49.56</v>
      </c>
    </row>
    <row r="130" spans="1:19" x14ac:dyDescent="0.35">
      <c r="A130" t="s">
        <v>13</v>
      </c>
      <c r="B130">
        <v>130</v>
      </c>
      <c r="C130" t="s">
        <v>14</v>
      </c>
      <c r="D130" t="s">
        <v>367</v>
      </c>
      <c r="E130">
        <v>8515</v>
      </c>
      <c r="F130" t="s">
        <v>16</v>
      </c>
      <c r="G130" t="s">
        <v>368</v>
      </c>
      <c r="H130">
        <v>740805</v>
      </c>
      <c r="I130" t="s">
        <v>18</v>
      </c>
      <c r="J130">
        <v>72505225</v>
      </c>
      <c r="K130" t="s">
        <v>19</v>
      </c>
      <c r="L130">
        <v>80073305</v>
      </c>
      <c r="M130" t="s">
        <v>11</v>
      </c>
      <c r="N130">
        <v>23799425</v>
      </c>
      <c r="O130" t="s">
        <v>20</v>
      </c>
      <c r="P130" t="s">
        <v>303</v>
      </c>
      <c r="Q130">
        <v>1162</v>
      </c>
      <c r="R130" t="s">
        <v>22</v>
      </c>
      <c r="S130">
        <v>49.36</v>
      </c>
    </row>
    <row r="131" spans="1:19" x14ac:dyDescent="0.35">
      <c r="A131" t="s">
        <v>13</v>
      </c>
      <c r="B131">
        <v>131</v>
      </c>
      <c r="C131" t="s">
        <v>14</v>
      </c>
      <c r="D131" t="s">
        <v>369</v>
      </c>
      <c r="E131">
        <v>8646</v>
      </c>
      <c r="F131" t="s">
        <v>16</v>
      </c>
      <c r="G131" t="s">
        <v>370</v>
      </c>
      <c r="H131">
        <v>757966</v>
      </c>
      <c r="I131" t="s">
        <v>18</v>
      </c>
      <c r="J131">
        <v>74753316</v>
      </c>
      <c r="K131" t="s">
        <v>19</v>
      </c>
      <c r="L131">
        <v>82556069</v>
      </c>
      <c r="M131" t="s">
        <v>11</v>
      </c>
      <c r="N131">
        <v>24540230</v>
      </c>
      <c r="O131" t="s">
        <v>20</v>
      </c>
      <c r="P131" t="s">
        <v>303</v>
      </c>
      <c r="Q131">
        <v>1162</v>
      </c>
      <c r="R131" t="s">
        <v>22</v>
      </c>
      <c r="S131">
        <v>49.2</v>
      </c>
    </row>
    <row r="132" spans="1:19" x14ac:dyDescent="0.35">
      <c r="A132" t="s">
        <v>13</v>
      </c>
      <c r="B132">
        <v>132</v>
      </c>
      <c r="C132" t="s">
        <v>14</v>
      </c>
      <c r="D132" t="s">
        <v>371</v>
      </c>
      <c r="E132">
        <v>8778</v>
      </c>
      <c r="F132" t="s">
        <v>16</v>
      </c>
      <c r="G132" t="s">
        <v>372</v>
      </c>
      <c r="H132">
        <v>775390</v>
      </c>
      <c r="I132" t="s">
        <v>18</v>
      </c>
      <c r="J132">
        <v>77053284</v>
      </c>
      <c r="K132" t="s">
        <v>19</v>
      </c>
      <c r="L132">
        <v>85127856</v>
      </c>
      <c r="M132" t="s">
        <v>11</v>
      </c>
      <c r="N132">
        <v>25298196</v>
      </c>
      <c r="O132" t="s">
        <v>20</v>
      </c>
      <c r="P132" t="s">
        <v>303</v>
      </c>
      <c r="Q132">
        <v>1162</v>
      </c>
      <c r="R132" t="s">
        <v>22</v>
      </c>
      <c r="S132">
        <v>49.04</v>
      </c>
    </row>
    <row r="133" spans="1:19" x14ac:dyDescent="0.35">
      <c r="A133" t="s">
        <v>13</v>
      </c>
      <c r="B133">
        <v>133</v>
      </c>
      <c r="C133" t="s">
        <v>14</v>
      </c>
      <c r="D133" t="s">
        <v>373</v>
      </c>
      <c r="E133">
        <v>8911</v>
      </c>
      <c r="F133" t="s">
        <v>16</v>
      </c>
      <c r="G133" t="s">
        <v>374</v>
      </c>
      <c r="H133">
        <v>793079</v>
      </c>
      <c r="I133" t="s">
        <v>18</v>
      </c>
      <c r="J133">
        <v>79405921</v>
      </c>
      <c r="K133" t="s">
        <v>19</v>
      </c>
      <c r="L133">
        <v>87746617</v>
      </c>
      <c r="M133" t="s">
        <v>11</v>
      </c>
      <c r="N133">
        <v>26073586</v>
      </c>
      <c r="O133" t="s">
        <v>20</v>
      </c>
      <c r="P133" t="s">
        <v>303</v>
      </c>
      <c r="Q133">
        <v>1162</v>
      </c>
      <c r="R133" t="s">
        <v>22</v>
      </c>
      <c r="S133">
        <v>48.84</v>
      </c>
    </row>
    <row r="134" spans="1:19" x14ac:dyDescent="0.35">
      <c r="A134" t="s">
        <v>13</v>
      </c>
      <c r="B134">
        <v>134</v>
      </c>
      <c r="C134" t="s">
        <v>14</v>
      </c>
      <c r="D134" t="s">
        <v>375</v>
      </c>
      <c r="E134">
        <v>9045</v>
      </c>
      <c r="F134" t="s">
        <v>16</v>
      </c>
      <c r="G134" t="s">
        <v>376</v>
      </c>
      <c r="H134">
        <v>811035</v>
      </c>
      <c r="I134" t="s">
        <v>18</v>
      </c>
      <c r="J134">
        <v>81812025</v>
      </c>
      <c r="K134" t="s">
        <v>19</v>
      </c>
      <c r="L134">
        <v>90430704</v>
      </c>
      <c r="M134" t="s">
        <v>11</v>
      </c>
      <c r="N134">
        <v>26866665</v>
      </c>
      <c r="O134" t="s">
        <v>20</v>
      </c>
      <c r="P134" t="s">
        <v>303</v>
      </c>
      <c r="Q134">
        <v>1163</v>
      </c>
      <c r="R134" t="s">
        <v>22</v>
      </c>
      <c r="S134">
        <v>48.72</v>
      </c>
    </row>
    <row r="135" spans="1:19" x14ac:dyDescent="0.35">
      <c r="A135" t="s">
        <v>13</v>
      </c>
      <c r="B135">
        <v>135</v>
      </c>
      <c r="C135" t="s">
        <v>14</v>
      </c>
      <c r="D135" t="s">
        <v>377</v>
      </c>
      <c r="E135">
        <v>9180</v>
      </c>
      <c r="F135" t="s">
        <v>16</v>
      </c>
      <c r="G135" t="s">
        <v>378</v>
      </c>
      <c r="H135">
        <v>829260</v>
      </c>
      <c r="I135" t="s">
        <v>18</v>
      </c>
      <c r="J135">
        <v>84272400</v>
      </c>
      <c r="K135" t="s">
        <v>19</v>
      </c>
      <c r="L135">
        <v>93172140</v>
      </c>
      <c r="M135" t="s">
        <v>11</v>
      </c>
      <c r="N135">
        <v>27677700</v>
      </c>
      <c r="O135" t="s">
        <v>20</v>
      </c>
      <c r="P135" t="s">
        <v>303</v>
      </c>
      <c r="Q135">
        <v>1163</v>
      </c>
      <c r="R135" t="s">
        <v>22</v>
      </c>
      <c r="S135">
        <v>48.64</v>
      </c>
    </row>
    <row r="136" spans="1:19" x14ac:dyDescent="0.35">
      <c r="A136" t="s">
        <v>13</v>
      </c>
      <c r="B136">
        <v>136</v>
      </c>
      <c r="C136" t="s">
        <v>14</v>
      </c>
      <c r="D136" t="s">
        <v>379</v>
      </c>
      <c r="E136">
        <v>9316</v>
      </c>
      <c r="F136" t="s">
        <v>16</v>
      </c>
      <c r="G136" t="s">
        <v>380</v>
      </c>
      <c r="H136">
        <v>847756</v>
      </c>
      <c r="I136" t="s">
        <v>18</v>
      </c>
      <c r="J136">
        <v>86787856</v>
      </c>
      <c r="K136" t="s">
        <v>19</v>
      </c>
      <c r="L136">
        <v>95834032</v>
      </c>
      <c r="M136" t="s">
        <v>11</v>
      </c>
      <c r="N136">
        <v>28506960</v>
      </c>
      <c r="O136" t="s">
        <v>20</v>
      </c>
      <c r="P136" t="s">
        <v>324</v>
      </c>
      <c r="Q136">
        <v>1163</v>
      </c>
      <c r="R136" t="s">
        <v>22</v>
      </c>
      <c r="S136">
        <v>48.52</v>
      </c>
    </row>
    <row r="137" spans="1:19" x14ac:dyDescent="0.35">
      <c r="A137" t="s">
        <v>13</v>
      </c>
      <c r="B137">
        <v>137</v>
      </c>
      <c r="C137" t="s">
        <v>14</v>
      </c>
      <c r="D137" t="s">
        <v>381</v>
      </c>
      <c r="E137">
        <v>9453</v>
      </c>
      <c r="F137" t="s">
        <v>16</v>
      </c>
      <c r="G137" t="s">
        <v>382</v>
      </c>
      <c r="H137">
        <v>866525</v>
      </c>
      <c r="I137" t="s">
        <v>18</v>
      </c>
      <c r="J137">
        <v>89359209</v>
      </c>
      <c r="K137" t="s">
        <v>19</v>
      </c>
      <c r="L137">
        <v>98599448</v>
      </c>
      <c r="M137" t="s">
        <v>11</v>
      </c>
      <c r="N137">
        <v>29354716</v>
      </c>
      <c r="O137" t="s">
        <v>20</v>
      </c>
      <c r="P137" t="s">
        <v>300</v>
      </c>
      <c r="Q137">
        <v>1163</v>
      </c>
      <c r="R137" t="s">
        <v>22</v>
      </c>
      <c r="S137">
        <v>48.32</v>
      </c>
    </row>
    <row r="138" spans="1:19" x14ac:dyDescent="0.35">
      <c r="A138" t="s">
        <v>13</v>
      </c>
      <c r="B138">
        <v>138</v>
      </c>
      <c r="C138" t="s">
        <v>14</v>
      </c>
      <c r="D138" t="s">
        <v>383</v>
      </c>
      <c r="E138">
        <v>9591</v>
      </c>
      <c r="F138" t="s">
        <v>16</v>
      </c>
      <c r="G138" t="s">
        <v>384</v>
      </c>
      <c r="H138">
        <v>885569</v>
      </c>
      <c r="I138" t="s">
        <v>18</v>
      </c>
      <c r="J138">
        <v>91987281</v>
      </c>
      <c r="K138" t="s">
        <v>19</v>
      </c>
      <c r="L138">
        <v>101574555</v>
      </c>
      <c r="M138" t="s">
        <v>11</v>
      </c>
      <c r="N138">
        <v>30221241</v>
      </c>
      <c r="O138" t="s">
        <v>20</v>
      </c>
      <c r="P138" t="s">
        <v>300</v>
      </c>
      <c r="Q138">
        <v>1163</v>
      </c>
      <c r="R138" t="s">
        <v>22</v>
      </c>
      <c r="S138">
        <v>48.08</v>
      </c>
    </row>
    <row r="139" spans="1:19" x14ac:dyDescent="0.35">
      <c r="A139" t="s">
        <v>13</v>
      </c>
      <c r="B139">
        <v>139</v>
      </c>
      <c r="C139" t="s">
        <v>14</v>
      </c>
      <c r="D139" t="s">
        <v>385</v>
      </c>
      <c r="E139">
        <v>9730</v>
      </c>
      <c r="F139" t="s">
        <v>16</v>
      </c>
      <c r="G139" t="s">
        <v>386</v>
      </c>
      <c r="H139">
        <v>904890</v>
      </c>
      <c r="I139" t="s">
        <v>18</v>
      </c>
      <c r="J139">
        <v>94672900</v>
      </c>
      <c r="K139" t="s">
        <v>19</v>
      </c>
      <c r="L139">
        <v>104601531</v>
      </c>
      <c r="M139" t="s">
        <v>11</v>
      </c>
      <c r="N139">
        <v>31106810</v>
      </c>
      <c r="O139" t="s">
        <v>20</v>
      </c>
      <c r="P139" t="s">
        <v>324</v>
      </c>
      <c r="Q139">
        <v>1163</v>
      </c>
      <c r="R139" t="s">
        <v>22</v>
      </c>
      <c r="S139">
        <v>47.88</v>
      </c>
    </row>
    <row r="140" spans="1:19" x14ac:dyDescent="0.35">
      <c r="A140" t="s">
        <v>13</v>
      </c>
      <c r="B140">
        <v>140</v>
      </c>
      <c r="C140" t="s">
        <v>14</v>
      </c>
      <c r="D140" t="s">
        <v>387</v>
      </c>
      <c r="E140">
        <v>9870</v>
      </c>
      <c r="F140" t="s">
        <v>16</v>
      </c>
      <c r="G140" t="s">
        <v>388</v>
      </c>
      <c r="H140">
        <v>924490</v>
      </c>
      <c r="I140" t="s">
        <v>18</v>
      </c>
      <c r="J140">
        <v>97416900</v>
      </c>
      <c r="K140" t="s">
        <v>19</v>
      </c>
      <c r="L140">
        <v>107710120</v>
      </c>
      <c r="M140" t="s">
        <v>11</v>
      </c>
      <c r="N140">
        <v>32011700</v>
      </c>
      <c r="O140" t="s">
        <v>20</v>
      </c>
      <c r="P140" t="s">
        <v>303</v>
      </c>
      <c r="Q140">
        <v>1163</v>
      </c>
      <c r="R140" t="s">
        <v>22</v>
      </c>
      <c r="S140">
        <v>47.72</v>
      </c>
    </row>
    <row r="141" spans="1:19" x14ac:dyDescent="0.35">
      <c r="A141" t="s">
        <v>13</v>
      </c>
      <c r="B141">
        <v>141</v>
      </c>
      <c r="C141" t="s">
        <v>14</v>
      </c>
      <c r="D141" t="s">
        <v>389</v>
      </c>
      <c r="E141">
        <v>10011</v>
      </c>
      <c r="F141" t="s">
        <v>16</v>
      </c>
      <c r="G141" t="s">
        <v>390</v>
      </c>
      <c r="H141">
        <v>944371</v>
      </c>
      <c r="I141" t="s">
        <v>18</v>
      </c>
      <c r="J141">
        <v>100220121</v>
      </c>
      <c r="K141" t="s">
        <v>19</v>
      </c>
      <c r="L141">
        <v>110872107</v>
      </c>
      <c r="M141" t="s">
        <v>11</v>
      </c>
      <c r="N141">
        <v>32936190</v>
      </c>
      <c r="O141" t="s">
        <v>20</v>
      </c>
      <c r="P141" t="s">
        <v>303</v>
      </c>
      <c r="Q141">
        <v>1163</v>
      </c>
      <c r="R141" t="s">
        <v>22</v>
      </c>
      <c r="S141">
        <v>47.56</v>
      </c>
    </row>
    <row r="142" spans="1:19" x14ac:dyDescent="0.35">
      <c r="A142" t="s">
        <v>13</v>
      </c>
      <c r="B142">
        <v>142</v>
      </c>
      <c r="C142" t="s">
        <v>14</v>
      </c>
      <c r="D142" t="s">
        <v>391</v>
      </c>
      <c r="E142">
        <v>10153</v>
      </c>
      <c r="F142" t="s">
        <v>16</v>
      </c>
      <c r="G142" t="s">
        <v>392</v>
      </c>
      <c r="H142">
        <v>964535</v>
      </c>
      <c r="I142" t="s">
        <v>18</v>
      </c>
      <c r="J142">
        <v>103083409</v>
      </c>
      <c r="K142" t="s">
        <v>19</v>
      </c>
      <c r="L142">
        <v>113987944</v>
      </c>
      <c r="M142" t="s">
        <v>11</v>
      </c>
      <c r="N142">
        <v>33880561</v>
      </c>
      <c r="O142" t="s">
        <v>20</v>
      </c>
      <c r="P142" t="s">
        <v>303</v>
      </c>
      <c r="Q142">
        <v>1163</v>
      </c>
      <c r="R142" t="s">
        <v>22</v>
      </c>
      <c r="S142">
        <v>47.44</v>
      </c>
    </row>
    <row r="143" spans="1:19" x14ac:dyDescent="0.35">
      <c r="A143" t="s">
        <v>13</v>
      </c>
      <c r="B143">
        <v>143</v>
      </c>
      <c r="C143" t="s">
        <v>14</v>
      </c>
      <c r="D143" t="s">
        <v>393</v>
      </c>
      <c r="E143">
        <v>10296</v>
      </c>
      <c r="F143" t="s">
        <v>16</v>
      </c>
      <c r="G143" t="s">
        <v>394</v>
      </c>
      <c r="H143">
        <v>984984</v>
      </c>
      <c r="I143" t="s">
        <v>18</v>
      </c>
      <c r="J143">
        <v>106007616</v>
      </c>
      <c r="K143" t="s">
        <v>19</v>
      </c>
      <c r="L143">
        <v>116892919</v>
      </c>
      <c r="M143" t="s">
        <v>11</v>
      </c>
      <c r="N143">
        <v>34845096</v>
      </c>
      <c r="O143" t="s">
        <v>20</v>
      </c>
      <c r="P143" t="s">
        <v>294</v>
      </c>
      <c r="Q143">
        <v>1163</v>
      </c>
      <c r="R143" t="s">
        <v>22</v>
      </c>
      <c r="S143">
        <v>47.16</v>
      </c>
    </row>
    <row r="144" spans="1:19" x14ac:dyDescent="0.35">
      <c r="A144" t="s">
        <v>13</v>
      </c>
      <c r="B144">
        <v>144</v>
      </c>
      <c r="C144" t="s">
        <v>14</v>
      </c>
      <c r="D144" t="s">
        <v>395</v>
      </c>
      <c r="E144">
        <v>10440</v>
      </c>
      <c r="F144" t="s">
        <v>16</v>
      </c>
      <c r="G144" t="s">
        <v>396</v>
      </c>
      <c r="H144">
        <v>1005720</v>
      </c>
      <c r="I144" t="s">
        <v>18</v>
      </c>
      <c r="J144">
        <v>108993600</v>
      </c>
      <c r="K144" t="s">
        <v>19</v>
      </c>
      <c r="L144">
        <v>120125880</v>
      </c>
      <c r="M144" t="s">
        <v>11</v>
      </c>
      <c r="N144">
        <v>35830080</v>
      </c>
      <c r="O144" t="s">
        <v>20</v>
      </c>
      <c r="P144" t="s">
        <v>329</v>
      </c>
      <c r="Q144">
        <v>1162</v>
      </c>
      <c r="R144" t="s">
        <v>22</v>
      </c>
      <c r="S144">
        <v>46.84</v>
      </c>
    </row>
    <row r="145" spans="1:19" x14ac:dyDescent="0.35">
      <c r="A145" t="s">
        <v>13</v>
      </c>
      <c r="B145">
        <v>145</v>
      </c>
      <c r="C145" t="s">
        <v>14</v>
      </c>
      <c r="D145" t="s">
        <v>397</v>
      </c>
      <c r="E145">
        <v>10585</v>
      </c>
      <c r="F145" t="s">
        <v>16</v>
      </c>
      <c r="G145" t="s">
        <v>398</v>
      </c>
      <c r="H145">
        <v>1026745</v>
      </c>
      <c r="I145" t="s">
        <v>18</v>
      </c>
      <c r="J145">
        <v>112042225</v>
      </c>
      <c r="K145" t="s">
        <v>19</v>
      </c>
      <c r="L145">
        <v>123528110</v>
      </c>
      <c r="M145" t="s">
        <v>11</v>
      </c>
      <c r="N145">
        <v>36835800</v>
      </c>
      <c r="O145" t="s">
        <v>20</v>
      </c>
      <c r="P145" t="s">
        <v>294</v>
      </c>
      <c r="Q145">
        <v>1162</v>
      </c>
      <c r="R145" t="s">
        <v>22</v>
      </c>
      <c r="S145">
        <v>46.56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Orbia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Schweitzer | Orbia (Netafim)</dc:creator>
  <cp:lastModifiedBy>Avi Schweitzer | Orbia (Netafim)</cp:lastModifiedBy>
  <dcterms:created xsi:type="dcterms:W3CDTF">2026-08-23T19:38:48Z</dcterms:created>
  <dcterms:modified xsi:type="dcterms:W3CDTF">2026-09-17T07:30:52Z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b131b9-1d6b-42cb-b6c6-7a56cf99c604_Enabled">
    <vt:lpwstr>true</vt:lpwstr>
  </property>
  <property fmtid="{D5CDD505-2E9C-101B-9397-08002B2CF9AE}" pid="3" name="MSIP_Label_91b131b9-1d6b-42cb-b6c6-7a56cf99c604_SetDate">
    <vt:lpwstr>2026-08-23T19:39:26Z</vt:lpwstr>
  </property>
  <property fmtid="{D5CDD505-2E9C-101B-9397-08002B2CF9AE}" pid="4" name="MSIP_Label_91b131b9-1d6b-42cb-b6c6-7a56cf99c604_Method">
    <vt:lpwstr>Privileged</vt:lpwstr>
  </property>
  <property fmtid="{D5CDD505-2E9C-101B-9397-08002B2CF9AE}" pid="5" name="MSIP_Label_91b131b9-1d6b-42cb-b6c6-7a56cf99c604_Name">
    <vt:lpwstr>Orbia_Confidential</vt:lpwstr>
  </property>
  <property fmtid="{D5CDD505-2E9C-101B-9397-08002B2CF9AE}" pid="6" name="MSIP_Label_91b131b9-1d6b-42cb-b6c6-7a56cf99c604_SiteId">
    <vt:lpwstr>35102502-39ba-44ac-acc4-c185e0bf9285</vt:lpwstr>
  </property>
  <property fmtid="{D5CDD505-2E9C-101B-9397-08002B2CF9AE}" pid="7" name="MSIP_Label_91b131b9-1d6b-42cb-b6c6-7a56cf99c604_ActionId">
    <vt:lpwstr>efbcda4c-ce4c-4e70-9ea0-188c96a67aad</vt:lpwstr>
  </property>
  <property fmtid="{D5CDD505-2E9C-101B-9397-08002B2CF9AE}" pid="8" name="MSIP_Label_91b131b9-1d6b-42cb-b6c6-7a56cf99c604_ContentBits">
    <vt:lpwstr>3</vt:lpwstr>
  </property>
  <property fmtid="{D5CDD505-2E9C-101B-9397-08002B2CF9AE}" pid="9" name="MSIP_Label_91b131b9-1d6b-42cb-b6c6-7a56cf99c604_Tag">
    <vt:lpwstr>10, 2, 1, 1</vt:lpwstr>
  </property>
</Properties>
</file>